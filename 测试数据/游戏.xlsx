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T_E\Software\Other\Obsidian\Project\学海无涯\30-资源\游戏\"/>
    </mc:Choice>
  </mc:AlternateContent>
  <xr:revisionPtr revIDLastSave="0" documentId="13_ncr:1_{6D8881B9-359D-4AD6-9D9A-254BE00B952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桌面端" sheetId="1" r:id="rId1"/>
    <sheet name="移动端" sheetId="2" r:id="rId2"/>
    <sheet name="GalGame" sheetId="3" r:id="rId3"/>
    <sheet name="说明" sheetId="4" r:id="rId4"/>
  </sheets>
  <definedNames>
    <definedName name="_xlnm._FilterDatabase" localSheetId="2" hidden="1">GalGame!$A$1:$J$46</definedName>
    <definedName name="_xlnm._FilterDatabase" localSheetId="1" hidden="1">移动端!$A$1:$J$58</definedName>
    <definedName name="_xlnm._FilterDatabase" localSheetId="0" hidden="1">桌面端!$A$1:$J$40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H24" i="1"/>
  <c r="I24" i="1" s="1"/>
  <c r="J24" i="1"/>
  <c r="G32" i="1"/>
  <c r="H32" i="1"/>
  <c r="I32" i="1" s="1"/>
  <c r="J32" i="1"/>
  <c r="G25" i="1"/>
  <c r="H25" i="1"/>
  <c r="I25" i="1" s="1"/>
  <c r="J25" i="1"/>
  <c r="G26" i="1"/>
  <c r="H26" i="1"/>
  <c r="I26" i="1" s="1"/>
  <c r="J26" i="1"/>
  <c r="G27" i="1"/>
  <c r="H27" i="1"/>
  <c r="I27" i="1" s="1"/>
  <c r="J27" i="1"/>
  <c r="G33" i="1"/>
  <c r="H33" i="1"/>
  <c r="I33" i="1" s="1"/>
  <c r="J33" i="1"/>
  <c r="G40" i="1"/>
  <c r="H40" i="1"/>
  <c r="I40" i="1" s="1"/>
  <c r="J40" i="1"/>
  <c r="G38" i="1"/>
  <c r="H38" i="1"/>
  <c r="I38" i="1" s="1"/>
  <c r="J38" i="1"/>
  <c r="G12" i="3"/>
  <c r="H12" i="3"/>
  <c r="I12" i="3" s="1"/>
  <c r="J12" i="3"/>
  <c r="G43" i="3"/>
  <c r="H43" i="3"/>
  <c r="I43" i="3" s="1"/>
  <c r="J43" i="3"/>
  <c r="G13" i="3"/>
  <c r="H13" i="3"/>
  <c r="I13" i="3" s="1"/>
  <c r="J13" i="3"/>
  <c r="G30" i="3"/>
  <c r="H30" i="3"/>
  <c r="I30" i="3" s="1"/>
  <c r="J30" i="3"/>
  <c r="G44" i="3"/>
  <c r="H44" i="3"/>
  <c r="I44" i="3" s="1"/>
  <c r="J44" i="3"/>
  <c r="G45" i="3"/>
  <c r="H45" i="3"/>
  <c r="I45" i="3" s="1"/>
  <c r="J45" i="3"/>
  <c r="G46" i="3"/>
  <c r="H46" i="3"/>
  <c r="I46" i="3" s="1"/>
  <c r="J46" i="3"/>
  <c r="G40" i="3"/>
  <c r="H40" i="3"/>
  <c r="I40" i="3" s="1"/>
  <c r="J40" i="3"/>
  <c r="G32" i="3"/>
  <c r="H32" i="3"/>
  <c r="I32" i="3" s="1"/>
  <c r="J32" i="3"/>
  <c r="G18" i="3"/>
  <c r="H18" i="3"/>
  <c r="I18" i="3" s="1"/>
  <c r="J18" i="3"/>
  <c r="G21" i="3"/>
  <c r="H21" i="3"/>
  <c r="I21" i="3" s="1"/>
  <c r="J21" i="3"/>
  <c r="G33" i="3"/>
  <c r="H33" i="3"/>
  <c r="I33" i="3" s="1"/>
  <c r="J33" i="3"/>
  <c r="G35" i="3"/>
  <c r="H35" i="3"/>
  <c r="I35" i="3" s="1"/>
  <c r="J35" i="3"/>
  <c r="G41" i="3"/>
  <c r="H41" i="3"/>
  <c r="I41" i="3" s="1"/>
  <c r="J41" i="3"/>
  <c r="G10" i="3"/>
  <c r="H10" i="3"/>
  <c r="I10" i="3" s="1"/>
  <c r="J10" i="3"/>
  <c r="G11" i="3"/>
  <c r="H11" i="3"/>
  <c r="I11" i="3" s="1"/>
  <c r="J11" i="3"/>
  <c r="G28" i="3"/>
  <c r="H28" i="3"/>
  <c r="I28" i="3" s="1"/>
  <c r="J28" i="3"/>
  <c r="G22" i="3"/>
  <c r="H22" i="3"/>
  <c r="I22" i="3" s="1"/>
  <c r="J22" i="3"/>
  <c r="G23" i="3"/>
  <c r="H23" i="3"/>
  <c r="I23" i="3" s="1"/>
  <c r="J23" i="3"/>
  <c r="G29" i="3"/>
  <c r="H29" i="3"/>
  <c r="I29" i="3" s="1"/>
  <c r="J29" i="3"/>
  <c r="G8" i="3"/>
  <c r="H8" i="3"/>
  <c r="I8" i="3" s="1"/>
  <c r="J8" i="3"/>
  <c r="G37" i="1"/>
  <c r="H37" i="1"/>
  <c r="I37" i="1" s="1"/>
  <c r="J37" i="1"/>
  <c r="G39" i="1"/>
  <c r="H39" i="1"/>
  <c r="I39" i="1" s="1"/>
  <c r="J39" i="1"/>
  <c r="G31" i="1"/>
  <c r="H31" i="1"/>
  <c r="I31" i="1" s="1"/>
  <c r="J31" i="1"/>
  <c r="G30" i="1"/>
  <c r="H30" i="1"/>
  <c r="I30" i="1" s="1"/>
  <c r="J30" i="1"/>
  <c r="G36" i="3"/>
  <c r="H36" i="3"/>
  <c r="I36" i="3" s="1"/>
  <c r="J36" i="3"/>
  <c r="G37" i="3"/>
  <c r="H37" i="3"/>
  <c r="I37" i="3" s="1"/>
  <c r="J37" i="3"/>
  <c r="G38" i="3"/>
  <c r="H38" i="3"/>
  <c r="I38" i="3" s="1"/>
  <c r="J38" i="3"/>
  <c r="G14" i="3"/>
  <c r="H14" i="3"/>
  <c r="I14" i="3" s="1"/>
  <c r="J14" i="3"/>
  <c r="G24" i="3"/>
  <c r="H24" i="3"/>
  <c r="I24" i="3" s="1"/>
  <c r="J24" i="3"/>
  <c r="G9" i="3"/>
  <c r="H9" i="3"/>
  <c r="I9" i="3" s="1"/>
  <c r="J9" i="3"/>
  <c r="G25" i="3"/>
  <c r="H25" i="3"/>
  <c r="I25" i="3" s="1"/>
  <c r="J25" i="3"/>
  <c r="G26" i="3"/>
  <c r="H26" i="3"/>
  <c r="I26" i="3" s="1"/>
  <c r="J26" i="3"/>
  <c r="G7" i="3"/>
  <c r="H7" i="3"/>
  <c r="I7" i="3" s="1"/>
  <c r="J7" i="3"/>
  <c r="G27" i="3"/>
  <c r="H27" i="3"/>
  <c r="I27" i="3" s="1"/>
  <c r="J27" i="3"/>
  <c r="G2" i="3"/>
  <c r="H2" i="3"/>
  <c r="I2" i="3" s="1"/>
  <c r="J2" i="3"/>
  <c r="G3" i="3"/>
  <c r="H3" i="3"/>
  <c r="I3" i="3" s="1"/>
  <c r="J3" i="3"/>
  <c r="G4" i="3"/>
  <c r="H4" i="3"/>
  <c r="I4" i="3" s="1"/>
  <c r="J4" i="3"/>
  <c r="G5" i="3"/>
  <c r="H5" i="3"/>
  <c r="I5" i="3" s="1"/>
  <c r="J5" i="3"/>
  <c r="G6" i="3"/>
  <c r="H6" i="3"/>
  <c r="I6" i="3" s="1"/>
  <c r="J6" i="3"/>
  <c r="G15" i="3"/>
  <c r="H15" i="3"/>
  <c r="I15" i="3" s="1"/>
  <c r="J15" i="3"/>
  <c r="G16" i="3"/>
  <c r="H16" i="3"/>
  <c r="I16" i="3" s="1"/>
  <c r="J16" i="3"/>
  <c r="G17" i="3"/>
  <c r="H17" i="3"/>
  <c r="I17" i="3" s="1"/>
  <c r="J17" i="3"/>
  <c r="G31" i="3"/>
  <c r="H31" i="3"/>
  <c r="I31" i="3" s="1"/>
  <c r="J31" i="3"/>
  <c r="G34" i="3"/>
  <c r="H34" i="3"/>
  <c r="I34" i="3" s="1"/>
  <c r="J34" i="3"/>
  <c r="G39" i="3"/>
  <c r="H39" i="3"/>
  <c r="I39" i="3" s="1"/>
  <c r="J39" i="3"/>
  <c r="G42" i="3"/>
  <c r="H42" i="3"/>
  <c r="I42" i="3" s="1"/>
  <c r="J42" i="3"/>
  <c r="G47" i="2"/>
  <c r="H47" i="2"/>
  <c r="I47" i="2" s="1"/>
  <c r="J47" i="2"/>
  <c r="G57" i="2"/>
  <c r="H57" i="2"/>
  <c r="I57" i="2" s="1"/>
  <c r="J57" i="2"/>
  <c r="G58" i="2"/>
  <c r="H58" i="2"/>
  <c r="I58" i="2" s="1"/>
  <c r="J58" i="2"/>
  <c r="G19" i="3"/>
  <c r="H19" i="3"/>
  <c r="I19" i="3" s="1"/>
  <c r="J19" i="3"/>
  <c r="G20" i="3"/>
  <c r="H20" i="3"/>
  <c r="I20" i="3" s="1"/>
  <c r="J20" i="3"/>
  <c r="G32" i="2"/>
  <c r="H32" i="2"/>
  <c r="I32" i="2" s="1"/>
  <c r="J32" i="2"/>
  <c r="G37" i="2"/>
  <c r="H37" i="2"/>
  <c r="I37" i="2" s="1"/>
  <c r="J37" i="2"/>
  <c r="G55" i="2"/>
  <c r="H55" i="2"/>
  <c r="I55" i="2" s="1"/>
  <c r="J55" i="2"/>
  <c r="G51" i="2"/>
  <c r="H51" i="2"/>
  <c r="I51" i="2" s="1"/>
  <c r="J51" i="2"/>
  <c r="G9" i="2"/>
  <c r="H9" i="2"/>
  <c r="I9" i="2" s="1"/>
  <c r="J9" i="2"/>
  <c r="G49" i="2"/>
  <c r="H49" i="2"/>
  <c r="I49" i="2" s="1"/>
  <c r="J49" i="2"/>
  <c r="G44" i="2"/>
  <c r="H44" i="2"/>
  <c r="I44" i="2" s="1"/>
  <c r="J44" i="2"/>
  <c r="G33" i="2"/>
  <c r="H33" i="2"/>
  <c r="I33" i="2" s="1"/>
  <c r="J33" i="2"/>
  <c r="G34" i="2"/>
  <c r="H34" i="2"/>
  <c r="I34" i="2" s="1"/>
  <c r="J34" i="2"/>
  <c r="G14" i="2"/>
  <c r="H14" i="2"/>
  <c r="I14" i="2" s="1"/>
  <c r="J14" i="2"/>
  <c r="G21" i="2"/>
  <c r="H21" i="2"/>
  <c r="I21" i="2" s="1"/>
  <c r="J21" i="2"/>
  <c r="G36" i="2"/>
  <c r="H36" i="2"/>
  <c r="I36" i="2" s="1"/>
  <c r="J36" i="2"/>
  <c r="G41" i="2"/>
  <c r="H41" i="2"/>
  <c r="I41" i="2" s="1"/>
  <c r="J41" i="2"/>
  <c r="G11" i="2"/>
  <c r="H11" i="2"/>
  <c r="I11" i="2" s="1"/>
  <c r="J11" i="2"/>
  <c r="G54" i="2"/>
  <c r="H54" i="2"/>
  <c r="I54" i="2" s="1"/>
  <c r="J54" i="2"/>
  <c r="G56" i="2"/>
  <c r="H56" i="2"/>
  <c r="I56" i="2" s="1"/>
  <c r="J56" i="2"/>
  <c r="G29" i="2"/>
  <c r="H29" i="2"/>
  <c r="I29" i="2" s="1"/>
  <c r="J29" i="2"/>
  <c r="G5" i="2"/>
  <c r="H5" i="2"/>
  <c r="I5" i="2" s="1"/>
  <c r="J5" i="2"/>
  <c r="G8" i="2"/>
  <c r="H8" i="2"/>
  <c r="I8" i="2" s="1"/>
  <c r="J8" i="2"/>
  <c r="G4" i="2"/>
  <c r="H4" i="2"/>
  <c r="I4" i="2" s="1"/>
  <c r="J4" i="2"/>
  <c r="G22" i="2"/>
  <c r="H22" i="2"/>
  <c r="I22" i="2" s="1"/>
  <c r="J22" i="2"/>
  <c r="G20" i="2"/>
  <c r="H20" i="2"/>
  <c r="I20" i="2" s="1"/>
  <c r="J20" i="2"/>
  <c r="G13" i="2"/>
  <c r="H13" i="2"/>
  <c r="I13" i="2" s="1"/>
  <c r="J13" i="2"/>
  <c r="G43" i="2"/>
  <c r="H43" i="2"/>
  <c r="I43" i="2" s="1"/>
  <c r="J43" i="2"/>
  <c r="G38" i="2"/>
  <c r="H38" i="2"/>
  <c r="I38" i="2" s="1"/>
  <c r="J38" i="2"/>
  <c r="G40" i="2"/>
  <c r="H40" i="2"/>
  <c r="I40" i="2" s="1"/>
  <c r="J40" i="2"/>
  <c r="G46" i="2"/>
  <c r="H46" i="2"/>
  <c r="I46" i="2" s="1"/>
  <c r="J46" i="2"/>
  <c r="G3" i="2"/>
  <c r="H3" i="2"/>
  <c r="I3" i="2" s="1"/>
  <c r="J3" i="2"/>
  <c r="G23" i="2"/>
  <c r="H23" i="2"/>
  <c r="I23" i="2" s="1"/>
  <c r="J23" i="2"/>
  <c r="G27" i="2"/>
  <c r="H27" i="2"/>
  <c r="I27" i="2" s="1"/>
  <c r="J27" i="2"/>
  <c r="G26" i="2"/>
  <c r="H26" i="2"/>
  <c r="I26" i="2" s="1"/>
  <c r="J26" i="2"/>
  <c r="G24" i="2"/>
  <c r="H24" i="2"/>
  <c r="I24" i="2" s="1"/>
  <c r="J24" i="2"/>
  <c r="G28" i="2"/>
  <c r="H28" i="2"/>
  <c r="I28" i="2" s="1"/>
  <c r="J28" i="2"/>
  <c r="G25" i="2"/>
  <c r="H25" i="2"/>
  <c r="I25" i="2" s="1"/>
  <c r="J25" i="2"/>
  <c r="G7" i="2"/>
  <c r="H7" i="2"/>
  <c r="I7" i="2" s="1"/>
  <c r="J7" i="2"/>
  <c r="G10" i="2"/>
  <c r="H10" i="2"/>
  <c r="I10" i="2" s="1"/>
  <c r="J10" i="2"/>
  <c r="G12" i="2"/>
  <c r="H12" i="2"/>
  <c r="I12" i="2" s="1"/>
  <c r="J12" i="2"/>
  <c r="G6" i="2"/>
  <c r="H6" i="2"/>
  <c r="I6" i="2" s="1"/>
  <c r="J6" i="2"/>
  <c r="G18" i="2"/>
  <c r="H18" i="2"/>
  <c r="I18" i="2" s="1"/>
  <c r="J18" i="2"/>
  <c r="G42" i="2"/>
  <c r="H42" i="2"/>
  <c r="I42" i="2" s="1"/>
  <c r="J42" i="2"/>
  <c r="G48" i="2"/>
  <c r="H48" i="2"/>
  <c r="I48" i="2" s="1"/>
  <c r="J48" i="2"/>
  <c r="G19" i="2"/>
  <c r="H19" i="2"/>
  <c r="I19" i="2" s="1"/>
  <c r="J19" i="2"/>
  <c r="G15" i="2"/>
  <c r="H15" i="2"/>
  <c r="I15" i="2" s="1"/>
  <c r="J15" i="2"/>
  <c r="G35" i="2"/>
  <c r="H35" i="2"/>
  <c r="I35" i="2" s="1"/>
  <c r="J35" i="2"/>
  <c r="G30" i="2"/>
  <c r="H30" i="2"/>
  <c r="I30" i="2" s="1"/>
  <c r="J30" i="2"/>
  <c r="G17" i="2"/>
  <c r="H17" i="2"/>
  <c r="I17" i="2" s="1"/>
  <c r="J17" i="2"/>
  <c r="G39" i="2"/>
  <c r="H39" i="2"/>
  <c r="I39" i="2" s="1"/>
  <c r="J39" i="2"/>
  <c r="G31" i="2"/>
  <c r="H31" i="2"/>
  <c r="I31" i="2" s="1"/>
  <c r="J31" i="2"/>
  <c r="G52" i="2"/>
  <c r="H52" i="2"/>
  <c r="I52" i="2" s="1"/>
  <c r="J52" i="2"/>
  <c r="G45" i="2"/>
  <c r="H45" i="2"/>
  <c r="I45" i="2" s="1"/>
  <c r="J45" i="2"/>
  <c r="G53" i="2"/>
  <c r="H53" i="2"/>
  <c r="I53" i="2" s="1"/>
  <c r="J53" i="2"/>
  <c r="G50" i="2"/>
  <c r="H50" i="2"/>
  <c r="I50" i="2" s="1"/>
  <c r="J50" i="2"/>
  <c r="G4" i="1"/>
  <c r="H4" i="1"/>
  <c r="I4" i="1" s="1"/>
  <c r="J4" i="1"/>
  <c r="G5" i="1"/>
  <c r="H5" i="1"/>
  <c r="I5" i="1" s="1"/>
  <c r="J5" i="1"/>
  <c r="G6" i="1"/>
  <c r="H6" i="1"/>
  <c r="I6" i="1" s="1"/>
  <c r="J6" i="1"/>
  <c r="G7" i="1"/>
  <c r="H7" i="1"/>
  <c r="I7" i="1" s="1"/>
  <c r="J7" i="1"/>
  <c r="G8" i="1"/>
  <c r="H8" i="1"/>
  <c r="I8" i="1" s="1"/>
  <c r="J8" i="1"/>
  <c r="G9" i="1"/>
  <c r="H9" i="1"/>
  <c r="I9" i="1" s="1"/>
  <c r="J9" i="1"/>
  <c r="G10" i="1"/>
  <c r="H10" i="1"/>
  <c r="I10" i="1" s="1"/>
  <c r="J10" i="1"/>
  <c r="G11" i="1"/>
  <c r="H11" i="1"/>
  <c r="I11" i="1" s="1"/>
  <c r="J11" i="1"/>
  <c r="G12" i="1"/>
  <c r="H12" i="1"/>
  <c r="I12" i="1" s="1"/>
  <c r="J12" i="1"/>
  <c r="G13" i="1"/>
  <c r="H13" i="1"/>
  <c r="I13" i="1" s="1"/>
  <c r="J13" i="1"/>
  <c r="G14" i="1"/>
  <c r="H14" i="1"/>
  <c r="I14" i="1" s="1"/>
  <c r="J14" i="1"/>
  <c r="G15" i="1"/>
  <c r="H15" i="1"/>
  <c r="I15" i="1" s="1"/>
  <c r="J15" i="1"/>
  <c r="G16" i="1"/>
  <c r="H16" i="1"/>
  <c r="I16" i="1" s="1"/>
  <c r="J16" i="1"/>
  <c r="G17" i="1"/>
  <c r="H17" i="1"/>
  <c r="I17" i="1" s="1"/>
  <c r="J17" i="1"/>
  <c r="G18" i="1"/>
  <c r="H18" i="1"/>
  <c r="I18" i="1" s="1"/>
  <c r="J18" i="1"/>
  <c r="G19" i="1"/>
  <c r="H19" i="1"/>
  <c r="I19" i="1" s="1"/>
  <c r="J19" i="1"/>
  <c r="G20" i="1"/>
  <c r="H20" i="1"/>
  <c r="I20" i="1" s="1"/>
  <c r="J20" i="1"/>
  <c r="G28" i="1"/>
  <c r="H28" i="1"/>
  <c r="I28" i="1" s="1"/>
  <c r="J28" i="1"/>
  <c r="G34" i="1"/>
  <c r="H34" i="1"/>
  <c r="I34" i="1" s="1"/>
  <c r="J34" i="1"/>
  <c r="G21" i="1"/>
  <c r="H21" i="1"/>
  <c r="I21" i="1" s="1"/>
  <c r="J21" i="1"/>
  <c r="G29" i="1"/>
  <c r="H29" i="1"/>
  <c r="I29" i="1" s="1"/>
  <c r="J29" i="1"/>
  <c r="G22" i="1"/>
  <c r="H22" i="1"/>
  <c r="I22" i="1" s="1"/>
  <c r="J22" i="1"/>
  <c r="G35" i="1"/>
  <c r="H35" i="1"/>
  <c r="I35" i="1" s="1"/>
  <c r="J35" i="1"/>
  <c r="G36" i="1"/>
  <c r="H36" i="1"/>
  <c r="I36" i="1" s="1"/>
  <c r="J36" i="1"/>
  <c r="G23" i="1"/>
  <c r="H23" i="1"/>
  <c r="I23" i="1" s="1"/>
  <c r="J23" i="1"/>
  <c r="J3" i="1"/>
  <c r="H3" i="1"/>
  <c r="I3" i="1" s="1"/>
  <c r="G3" i="1"/>
  <c r="J2" i="1"/>
  <c r="H2" i="1"/>
  <c r="I2" i="1" s="1"/>
  <c r="G2" i="1"/>
  <c r="J16" i="2"/>
  <c r="H16" i="2"/>
  <c r="I16" i="2" s="1"/>
  <c r="G16" i="2"/>
  <c r="J2" i="2"/>
  <c r="H2" i="2"/>
  <c r="I2" i="2" s="1"/>
  <c r="G2" i="2"/>
</calcChain>
</file>

<file path=xl/sharedStrings.xml><?xml version="1.0" encoding="utf-8"?>
<sst xmlns="http://schemas.openxmlformats.org/spreadsheetml/2006/main" count="447" uniqueCount="280">
  <si>
    <t>简介</t>
    <phoneticPr fontId="1" type="noConversion"/>
  </si>
  <si>
    <t>评价</t>
    <phoneticPr fontId="1" type="noConversion"/>
  </si>
  <si>
    <t>序号</t>
    <phoneticPr fontId="1" type="noConversion"/>
  </si>
  <si>
    <t>日期</t>
    <phoneticPr fontId="1" type="noConversion"/>
  </si>
  <si>
    <t>符号</t>
    <phoneticPr fontId="1" type="noConversion"/>
  </si>
  <si>
    <t>说明</t>
    <phoneticPr fontId="1" type="noConversion"/>
  </si>
  <si>
    <t>[ ]</t>
    <phoneticPr fontId="1" type="noConversion"/>
  </si>
  <si>
    <t>( )</t>
    <phoneticPr fontId="1" type="noConversion"/>
  </si>
  <si>
    <t>【 】</t>
    <phoneticPr fontId="1" type="noConversion"/>
  </si>
  <si>
    <t>别称(小范围)</t>
    <phoneticPr fontId="1" type="noConversion"/>
  </si>
  <si>
    <t>内容涵盖(大范围)</t>
    <phoneticPr fontId="1" type="noConversion"/>
  </si>
  <si>
    <t>“外”代表非本地，“解”代表缺解说，成就可以更完美。
其余，汉字表示情绪；数字表示集数。</t>
    <phoneticPr fontId="1" type="noConversion"/>
  </si>
  <si>
    <t>+++</t>
  </si>
  <si>
    <t>++++</t>
  </si>
  <si>
    <t>评分(10)</t>
    <phoneticPr fontId="1" type="noConversion"/>
  </si>
  <si>
    <t>进度(+ == 25%)</t>
    <phoneticPr fontId="1" type="noConversion"/>
  </si>
  <si>
    <t>周年</t>
    <phoneticPr fontId="1" type="noConversion"/>
  </si>
  <si>
    <t>生日</t>
    <phoneticPr fontId="1" type="noConversion"/>
  </si>
  <si>
    <t>周岁</t>
    <phoneticPr fontId="1" type="noConversion"/>
  </si>
  <si>
    <t>名称</t>
    <phoneticPr fontId="1" type="noConversion"/>
  </si>
  <si>
    <t>我的世界</t>
  </si>
  <si>
    <t>(基岩版---，JAVA版---，教育版---，)</t>
  </si>
  <si>
    <t>饥荒</t>
  </si>
  <si>
    <t>(原版---，原版·DLC[巨人国---，海滩---，哈姆雷特---]---，联机版---)</t>
  </si>
  <si>
    <t>泰拉瑞亚</t>
  </si>
  <si>
    <t>(原版---，灾厄---)</t>
  </si>
  <si>
    <t>侠盗猎车手</t>
  </si>
  <si>
    <t>荒野大镖客</t>
  </si>
  <si>
    <t>(救赎---，救赎·DLC[不死梦魇]---，救赎2---，)</t>
  </si>
  <si>
    <t>植物大战僵尸</t>
  </si>
  <si>
    <t>(1---，2---，3---，花园战争---，花园战争2---，英雄---，和睦小镇保卫战---，其他[西游版---，长城版---，杂交---，融合版---，嫁接版---，指导版---，二战版---，95版---，])</t>
  </si>
  <si>
    <t>逃生</t>
  </si>
  <si>
    <t>寂静岭</t>
  </si>
  <si>
    <t>(起源---，1---，2---，2·DLC[最期之诗]---，3---，4:闭室---，5:归乡---，破碎的记忆---，6:暴雨---，F---，PT---，记忆之书---，街机版---，飞升---，短信---，)</t>
  </si>
  <si>
    <t>零</t>
  </si>
  <si>
    <t>(zero---，红蝶---，刺青之声---，月蚀之假面---，濡鸦之巫女---)</t>
  </si>
  <si>
    <t>恶灵附身</t>
  </si>
  <si>
    <t>面容</t>
  </si>
  <si>
    <t>(第一人称恐怖游戏)</t>
  </si>
  <si>
    <t>都市天际线</t>
  </si>
  <si>
    <t>(1---，1·DLC[工业---，校园---，公园---，大量交通---，日落海港---，绿色都市---，入夜---，灾难---，雪落---，机场---，内容创建者包---，音乐会---，]---，2---)</t>
  </si>
  <si>
    <t>对马岛之魂</t>
  </si>
  <si>
    <t>(开放世界动作冒险类游戏)</t>
  </si>
  <si>
    <t>森林</t>
  </si>
  <si>
    <t>(第一部---，第二部[森林之子]---)</t>
  </si>
  <si>
    <t>深海迷航</t>
  </si>
  <si>
    <t>(第一部---，零度之下---，)</t>
  </si>
  <si>
    <t>深海搁浅</t>
  </si>
  <si>
    <t>(英文StrandedDeep，3D冒险游戏)</t>
  </si>
  <si>
    <t>看门狗</t>
  </si>
  <si>
    <t>(1---，1·DLC[坏血]---，2---，2·DLC[传奇黑客---，人体条件---，永不妥协---，根用户包---，迷幻包---]---，3:军团---，)</t>
  </si>
  <si>
    <t>食人鲨</t>
  </si>
  <si>
    <t>(开放世界动作角色扮演游戏)</t>
  </si>
  <si>
    <t>异常</t>
  </si>
  <si>
    <t>(策略游戏)</t>
  </si>
  <si>
    <t>Sifu</t>
  </si>
  <si>
    <t>(写实风第三人称混战游戏)</t>
  </si>
  <si>
    <t>僵尸世界大战</t>
  </si>
  <si>
    <t>(标准版---，劫后余生---)</t>
  </si>
  <si>
    <t>模拟农场</t>
  </si>
  <si>
    <t>(2008---，2009---，2011---，2013---，15---，17---，19---，22---，25---，移动掌机端[2012休闲版---，14---，16---，18---，20---，23---，24---，])</t>
  </si>
  <si>
    <t>仁王</t>
  </si>
  <si>
    <t>(1---，1·DLC[东北之龙---，义之后继者---，元和偃武---]---，2---，2·DLC[牛若战记---，平安京讨魔传---，太初武士秘史---]---，)</t>
  </si>
  <si>
    <t>拳皇</t>
  </si>
  <si>
    <t>(94---，95---，96---，97---，98---，99---，2000---，2001---，2002---，2003---，2005---，2009---，2010---，2016---，2022---)</t>
  </si>
  <si>
    <t>俄罗斯方块</t>
  </si>
  <si>
    <t>(英文名Tetris，全球销量第一的游戏)</t>
  </si>
  <si>
    <t>疯狂兔子:编程学院</t>
  </si>
  <si>
    <t>(编程启蒙类游戏)</t>
  </si>
  <si>
    <t>画个火柴人</t>
  </si>
  <si>
    <t>(第一部---，第二部---，第三部---)</t>
  </si>
  <si>
    <t>(GTA1---，GTA1·DLC[伦敦1969---，伦敦1961---]---，GTA2---，GTA:罪恶都市传说---，GTA:罪恶都市---，GTA:圣安地列斯---，GTA:自由城传奇---，GTA:前进---，GTA3---，GTA4---，GTA4·DLC[失落与诅咒---，风流托尼之歌---]---，GTA:血战唐人街---，GTA5---，)</t>
  </si>
  <si>
    <t>(1---，1·DLC[告密者]，2---，试炼，)</t>
    <phoneticPr fontId="1" type="noConversion"/>
  </si>
  <si>
    <t>(第一部---，第二部---)</t>
    <phoneticPr fontId="1" type="noConversion"/>
  </si>
  <si>
    <t>++</t>
  </si>
  <si>
    <t>++++</t>
    <phoneticPr fontId="1" type="noConversion"/>
  </si>
  <si>
    <t>+++</t>
    <phoneticPr fontId="1" type="noConversion"/>
  </si>
  <si>
    <t>3D极限摩托</t>
  </si>
  <si>
    <t>(1---，2---，2·DLC:冬季---，3---，4---，4·DLC:传奇---，自由---)</t>
  </si>
  <si>
    <t>生化公司</t>
  </si>
  <si>
    <t>(1---，pc[救赎]---，2---)</t>
  </si>
  <si>
    <t>CF暴击僵尸</t>
  </si>
  <si>
    <t>(2015---，2017---)</t>
  </si>
  <si>
    <t>滚动的天空</t>
  </si>
  <si>
    <t>(1---，2[IOS端]---)</t>
  </si>
  <si>
    <t>还有这种操作</t>
  </si>
  <si>
    <t>(1---，2---，3---，4---，番外---)</t>
  </si>
  <si>
    <t>双向世界</t>
  </si>
  <si>
    <t>(英文名DoubleSwitch，25周年重制版---)</t>
  </si>
  <si>
    <t>画个车</t>
  </si>
  <si>
    <t>(英文名DrawCar)</t>
  </si>
  <si>
    <t>触摸女孩2</t>
  </si>
  <si>
    <t>(英文名misato(2)SamuraiGirl)</t>
  </si>
  <si>
    <t>切出前路</t>
  </si>
  <si>
    <t>(英文名splitterCritters)</t>
  </si>
  <si>
    <t>百灵斗牛牛</t>
  </si>
  <si>
    <t>(绝版资源)</t>
  </si>
  <si>
    <t>单机斗地主</t>
  </si>
  <si>
    <t>(单机和局域网对战，不错)</t>
  </si>
  <si>
    <t>飘三叶online</t>
  </si>
  <si>
    <t>(单机ai对战)</t>
  </si>
  <si>
    <t>中国象棋</t>
  </si>
  <si>
    <t>(界面简洁简单，内容玩法丰富)</t>
  </si>
  <si>
    <t>钓鱼看漂</t>
  </si>
  <si>
    <t>(钓大鱼)</t>
  </si>
  <si>
    <t>驾驶达人</t>
  </si>
  <si>
    <t>(1---，2---)</t>
  </si>
  <si>
    <t>极品钢琴</t>
  </si>
  <si>
    <t>(浴火重生版还在更新)</t>
  </si>
  <si>
    <t>找你妹</t>
  </si>
  <si>
    <t>(2012---，2013---，2014---，2018---)</t>
  </si>
  <si>
    <t>脑筋急转弯大全</t>
  </si>
  <si>
    <t>(搞笑滑稽的急转弯)</t>
  </si>
  <si>
    <t>进化战争</t>
  </si>
  <si>
    <t>鳄鱼小顽皮爱洗澡</t>
  </si>
  <si>
    <t>滑雪大冒险</t>
  </si>
  <si>
    <t>触须精灵</t>
  </si>
  <si>
    <t>(1---，进入大脑---)</t>
  </si>
  <si>
    <t>登山赛车</t>
  </si>
  <si>
    <t>无尽之战</t>
  </si>
  <si>
    <t>(后更名为兽王争霸)</t>
  </si>
  <si>
    <t>僵尸尖叫</t>
  </si>
  <si>
    <t>(原名ZombieCarnaval)</t>
  </si>
  <si>
    <t>欧比特人工智能</t>
  </si>
  <si>
    <t>(英文为orbitaAi)</t>
  </si>
  <si>
    <t>合金弹头</t>
  </si>
  <si>
    <t>(1---，2---，3---，4---，5---，6---，7---，x---，xx---，Advance---，3D---，手游觉醒---)</t>
  </si>
  <si>
    <t>魂斗罗</t>
  </si>
  <si>
    <t>(1---，2---，3---，4---，C行动---，铁血军团---，战争遗产---，真---，新---，重生---，铁血兵团:反叛---，RC联盟---，重制衍生手游[GB---，力量---，执念---，进化---，加鲁加行动---，归来---]---)</t>
  </si>
  <si>
    <t>特种部队小组</t>
  </si>
  <si>
    <t>(1---，2---，3---)</t>
  </si>
  <si>
    <t>奥特曼格斗进化</t>
  </si>
  <si>
    <t>(1---，2---，3---，重生---，0---)</t>
  </si>
  <si>
    <t>愤怒的火柴人</t>
  </si>
  <si>
    <t>(1---，2---，3---，4---，5---)</t>
  </si>
  <si>
    <t>火柴人战争</t>
  </si>
  <si>
    <t>(1---，2:秩序帝国---，帝国[PVP]---，遗产---，3---)</t>
  </si>
  <si>
    <t>火柴人羽毛球</t>
  </si>
  <si>
    <t>火柴人篮球</t>
  </si>
  <si>
    <t>火柴人足球</t>
  </si>
  <si>
    <t>火柴人联盟</t>
  </si>
  <si>
    <t>割绳子</t>
  </si>
  <si>
    <t>(1---，2---，3---，节日---，实验---，时光旅行---，魔法---)</t>
  </si>
  <si>
    <t>饥饿鲨</t>
  </si>
  <si>
    <t>(进化---，世界---)</t>
  </si>
  <si>
    <t>纪念碑谷</t>
  </si>
  <si>
    <t>愤怒的小鸟</t>
  </si>
  <si>
    <t>(1---，2---，季节---，里约---，星球大战---，星球大战2---)</t>
  </si>
  <si>
    <t>水果忍者</t>
  </si>
  <si>
    <t>坚守阵地</t>
  </si>
  <si>
    <t>(1---，2---，出击---)</t>
  </si>
  <si>
    <t>保卫萝卜</t>
  </si>
  <si>
    <t>(1---，2---，3---，4---)</t>
  </si>
  <si>
    <t>亡灵杀手</t>
  </si>
  <si>
    <t>(夏侯惇---，夏侯惇外传---)</t>
  </si>
  <si>
    <t>神庙逃亡</t>
  </si>
  <si>
    <t>(1---，2---，3---，勇敢传说---，魔境仙踪---，VR---，寻宝猎人---，IO---，益智冒险---，空闲探险家---)</t>
  </si>
  <si>
    <t>地铁跑酷</t>
  </si>
  <si>
    <t>(1---，tag---，match---，城市---)</t>
  </si>
  <si>
    <t>燃烧的蔬菜</t>
  </si>
  <si>
    <t>(1---，2---，3:恐龙来了---，4:新鲜战队---，OL---，蔬菜庄园---)</t>
  </si>
  <si>
    <t>世界盒子</t>
  </si>
  <si>
    <t>(英文名WorldBox)</t>
  </si>
  <si>
    <t>会说话的汤姆猫</t>
  </si>
  <si>
    <t>贪吃的苹果蛇</t>
  </si>
  <si>
    <t>贪吃蛇</t>
  </si>
  <si>
    <t>(1---，2---，EX---，EX2---，3D---)</t>
  </si>
  <si>
    <t>贪吃蛇大作战</t>
  </si>
  <si>
    <t>推箱子</t>
  </si>
  <si>
    <t>(1---，2---，Perfect---，Revenge---)</t>
  </si>
  <si>
    <t>黄金矿工</t>
  </si>
  <si>
    <t>(1---，特别版---，维加斯---)</t>
  </si>
  <si>
    <t>恶魔石板和被诅咒的犬公主</t>
  </si>
  <si>
    <t>(PC端，剧情画风操作顶级，很Nice)</t>
  </si>
  <si>
    <t>幸福家里蹲的养成方法</t>
  </si>
  <si>
    <t>(PC端，剧情画风顶级，很Nice)</t>
  </si>
  <si>
    <t>有女生活</t>
  </si>
  <si>
    <t>(PC端，玩法画风顶级，很Nice)</t>
  </si>
  <si>
    <t>迷失的生命</t>
  </si>
  <si>
    <t>NTR偶像之梦想的约束</t>
  </si>
  <si>
    <t>瞌睡虫成长记</t>
  </si>
  <si>
    <t>夏日小公园的厕所里</t>
  </si>
  <si>
    <t>小小的身影,重叠的内心</t>
  </si>
  <si>
    <t>(PC端，中文配音治愈，很不错)</t>
  </si>
  <si>
    <t>性教育的实践教师</t>
  </si>
  <si>
    <t>(PC端，多萝莉女主，还不错)</t>
  </si>
  <si>
    <t>与傲娇妹妹的治愈日常</t>
  </si>
  <si>
    <t>(PC端，多女主结局，还不错)</t>
  </si>
  <si>
    <t>良梦</t>
  </si>
  <si>
    <t>(PC端，拼图解锁CG，还不错)</t>
  </si>
  <si>
    <t>与狐妖的同居生活</t>
  </si>
  <si>
    <t>(PC端，图片互动养成，一般般)</t>
  </si>
  <si>
    <t>僵尸作战模拟器</t>
  </si>
  <si>
    <t>(英文ZombieCombatSimulator)</t>
  </si>
  <si>
    <t>我有一个猫女仆</t>
  </si>
  <si>
    <t>(PC端，猫女仆，还不错)</t>
  </si>
  <si>
    <t>敗北悪魔監禁</t>
  </si>
  <si>
    <t>(PC端，恶魔萝莉，还不错)</t>
  </si>
  <si>
    <t>绊爱</t>
  </si>
  <si>
    <t>(PC端，多姿势绊爱女主，还不错)</t>
  </si>
  <si>
    <t>催眠时停恶作剧</t>
  </si>
  <si>
    <t>(PC端，3D萝莉女主建模耐看，很不错)</t>
  </si>
  <si>
    <t>夏之音</t>
  </si>
  <si>
    <t>(PC端，3D建模耐看画风舒服，很不错)</t>
  </si>
  <si>
    <t>死宅和天使与H家族</t>
  </si>
  <si>
    <t>(PC端，建模耐看CG丰富，很Nice)</t>
  </si>
  <si>
    <t>特工17</t>
  </si>
  <si>
    <t>(PC端，建模耐看玩法独特，很不错)</t>
  </si>
  <si>
    <t>与你拉钩起誓的婚约</t>
  </si>
  <si>
    <t>(PC端，萝莉女主治愈画风，很不错)</t>
  </si>
  <si>
    <t>理想的父亲</t>
  </si>
  <si>
    <t>(PC端，3D双萝莉养成高自由度，很不错)</t>
  </si>
  <si>
    <t>我的女仆</t>
  </si>
  <si>
    <t>(PC端，像素女仆画风舒服，很不错)</t>
  </si>
  <si>
    <t>(PC端，萝莉写实画风，很Nice)</t>
  </si>
  <si>
    <t>(PC端，3D高自由度建模顶级，很Nice)</t>
  </si>
  <si>
    <t>(PC端，萝莉女主操作舒服，很不错)</t>
  </si>
  <si>
    <t>(PC端，3D建模耐看，很不错)</t>
  </si>
  <si>
    <t>木筏生存</t>
  </si>
  <si>
    <t>(开放世界第一人称海上生存冒险游戏)</t>
  </si>
  <si>
    <t>赛菲莉娅</t>
  </si>
  <si>
    <t>(像素风格俯视角动作类轻度肉鸽游戏)</t>
  </si>
  <si>
    <t>枪火重生</t>
  </si>
  <si>
    <t>(国风题材轻度肉鸽随机探索与RPG策略养成第一人称射击游戏)</t>
  </si>
  <si>
    <t>土豆兄弟</t>
  </si>
  <si>
    <t>(休闲肉鸽动作游戏)</t>
  </si>
  <si>
    <t>千恋万花</t>
  </si>
  <si>
    <t>(PC端，美少女多支线CG丰富，很不错)</t>
  </si>
  <si>
    <t>家出少女</t>
  </si>
  <si>
    <t>(PC端，美少女居家养成，很不错)</t>
  </si>
  <si>
    <t>触摸惩罚游戏</t>
  </si>
  <si>
    <t>(PC端，萝莉女主抽牌惩罚，还不错)</t>
  </si>
  <si>
    <t>离家出走少女的同居日常</t>
  </si>
  <si>
    <t>(PC端，萝莉女主画风温馨，还不错)</t>
  </si>
  <si>
    <t>表妹的性游戏</t>
  </si>
  <si>
    <t>(PC端，白发萝莉玉足狂喜，很不错)</t>
  </si>
  <si>
    <t>后宫牧场生活</t>
  </si>
  <si>
    <t>(PC端，萝莉后宫CG丰富，很不错)</t>
  </si>
  <si>
    <t>医生的特殊任务</t>
  </si>
  <si>
    <t>(PC端，多萝莉治疗玩法，还不错)</t>
  </si>
  <si>
    <t>我与未遥的保健生活</t>
  </si>
  <si>
    <t>(PC端，女主耐看姿势丰富，还不错)</t>
  </si>
  <si>
    <r>
      <t>堕落电车</t>
    </r>
    <r>
      <rPr>
        <sz val="14"/>
        <color theme="1"/>
        <rFont val="MS Gothic"/>
        <family val="3"/>
        <charset val="128"/>
      </rPr>
      <t>・</t>
    </r>
    <r>
      <rPr>
        <sz val="14"/>
        <color theme="1"/>
        <rFont val="微软雅黑"/>
        <family val="2"/>
        <charset val="134"/>
      </rPr>
      <t>OL篇</t>
    </r>
  </si>
  <si>
    <t>(PC端，女主耐看电车触摸，还不错)</t>
  </si>
  <si>
    <t>虚拟女友VR棉</t>
  </si>
  <si>
    <t>(PC端，建模顶级换装VR，很不错)</t>
  </si>
  <si>
    <t>回家就会睡着的孩子</t>
  </si>
  <si>
    <t>(PC端，画风细腻逼真，很不错)</t>
  </si>
  <si>
    <t>诱骗少女回家的方法</t>
  </si>
  <si>
    <t>(PC端，治愈萝莉画风，很不错)</t>
  </si>
  <si>
    <t>沉睡的少女</t>
  </si>
  <si>
    <t>(PC端，萝莉女主睡眠恶作剧，很不错)</t>
  </si>
  <si>
    <t>通勤电车·被偷拍的少女</t>
  </si>
  <si>
    <t>(PC端，萝莉女主电车恶作剧，很不错)</t>
  </si>
  <si>
    <t>地下偶像X教辱育录</t>
  </si>
  <si>
    <t>(PC端，建模顶级剧情玩法简单，很不错)</t>
  </si>
  <si>
    <r>
      <t>雌小鬼义妹</t>
    </r>
    <r>
      <rPr>
        <sz val="14"/>
        <color theme="1"/>
        <rFont val="Malgun Gothic Semilight"/>
        <family val="2"/>
        <charset val="134"/>
      </rPr>
      <t>♡</t>
    </r>
    <r>
      <rPr>
        <sz val="14"/>
        <color theme="1"/>
        <rFont val="微软雅黑"/>
        <family val="2"/>
        <charset val="134"/>
      </rPr>
      <t>一败涂地的诱惑生活</t>
    </r>
  </si>
  <si>
    <t>(PC端，剧情优质女主画风顶级，很不错)</t>
  </si>
  <si>
    <t>妹同居生活</t>
  </si>
  <si>
    <t>(PC端，剧情优质妹系养成，很不错)</t>
  </si>
  <si>
    <t>与妹妹的危险同居生活</t>
  </si>
  <si>
    <t>(PC端，玩法简单妹系养成，一般般)</t>
  </si>
  <si>
    <t>追逐夏天的记忆</t>
  </si>
  <si>
    <t>(PC端，剧情优质建模顶级，很不错)</t>
  </si>
  <si>
    <t>每日亲亲洛丽塔</t>
  </si>
  <si>
    <t>(PC端，双萝莉养成CG耐看，很不错)</t>
  </si>
  <si>
    <t>虐杀原形</t>
  </si>
  <si>
    <t>星露谷物语</t>
  </si>
  <si>
    <t>(开放式乡村模拟经营类游戏)</t>
  </si>
  <si>
    <t>只狼:影逝二度</t>
  </si>
  <si>
    <t>(动作冒险游戏)</t>
  </si>
  <si>
    <t>最后生还者</t>
  </si>
  <si>
    <t>黑神话:悟空</t>
  </si>
  <si>
    <t>(西游题材动作角色扮演游戏)</t>
  </si>
  <si>
    <t>渔力全开</t>
  </si>
  <si>
    <t>(物力交互钓鱼模拟游戏)</t>
  </si>
  <si>
    <t>罗马拓荒录</t>
  </si>
  <si>
    <t>(生存建造游戏)</t>
  </si>
  <si>
    <t>霍格沃茨之遗</t>
  </si>
  <si>
    <t>(动作角色扮演游戏)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</si>
</sst>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m&quot;月&quot;dd&quot;日&quot;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1"/>
      <name val="MS Gothic"/>
      <family val="3"/>
      <charset val="128"/>
    </font>
    <font>
      <sz val="14"/>
      <color theme="1"/>
      <name val="Malgun Gothic Semilight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1" fontId="5" fillId="0" borderId="0" xfId="0" applyNumberFormat="1" applyFont="1" applyAlignment="1">
      <alignment horizontal="center" vertical="center"/>
    </xf>
    <xf numFmtId="31" fontId="5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1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0"/>
  <sheetViews>
    <sheetView tabSelected="1" zoomScale="85" zoomScaleNormal="85" workbookViewId="0">
      <pane ySplit="1" topLeftCell="A20" activePane="bottomLeft" state="frozen"/>
      <selection activeCell="C1" sqref="C1"/>
      <selection pane="bottomLeft" activeCell="C43" sqref="C43"/>
    </sheetView>
  </sheetViews>
  <sheetFormatPr defaultColWidth="0" defaultRowHeight="13.8" zeroHeight="1" x14ac:dyDescent="0.25"/>
  <cols>
    <col min="1" max="1" width="14.109375" bestFit="1" customWidth="1"/>
    <col min="2" max="2" width="44.33203125" bestFit="1" customWidth="1"/>
    <col min="3" max="3" width="110.6640625" customWidth="1"/>
    <col min="4" max="4" width="23.5546875" bestFit="1" customWidth="1"/>
    <col min="5" max="5" width="35.88671875" bestFit="1" customWidth="1"/>
    <col min="6" max="6" width="21.44140625" bestFit="1" customWidth="1"/>
    <col min="7" max="8" width="14.109375" bestFit="1" customWidth="1"/>
    <col min="9" max="9" width="14.21875" bestFit="1" customWidth="1"/>
    <col min="10" max="10" width="14.109375" bestFit="1" customWidth="1"/>
    <col min="11" max="16384" width="8.88671875" hidden="1"/>
  </cols>
  <sheetData>
    <row r="1" spans="1:10" ht="25.8" x14ac:dyDescent="0.25">
      <c r="A1" s="8" t="s">
        <v>2</v>
      </c>
      <c r="B1" s="8" t="s">
        <v>19</v>
      </c>
      <c r="C1" s="8" t="s">
        <v>0</v>
      </c>
      <c r="D1" s="9" t="s">
        <v>3</v>
      </c>
      <c r="E1" s="8" t="s">
        <v>15</v>
      </c>
      <c r="F1" s="8" t="s">
        <v>14</v>
      </c>
      <c r="G1" s="8" t="s">
        <v>1</v>
      </c>
      <c r="H1" s="8" t="s">
        <v>16</v>
      </c>
      <c r="I1" s="8" t="s">
        <v>18</v>
      </c>
      <c r="J1" s="8" t="s">
        <v>17</v>
      </c>
    </row>
    <row r="2" spans="1:10" ht="24.6" x14ac:dyDescent="0.4">
      <c r="A2" s="10">
        <v>1</v>
      </c>
      <c r="B2" s="6" t="s">
        <v>20</v>
      </c>
      <c r="C2" s="6" t="s">
        <v>21</v>
      </c>
      <c r="D2" s="7">
        <v>39950</v>
      </c>
      <c r="E2" s="11" t="s">
        <v>12</v>
      </c>
      <c r="F2" s="6">
        <v>10</v>
      </c>
      <c r="G2" s="12" t="str">
        <f>IF(AND(F2&lt;=10, F2&gt;=9), "S", IF(F2&gt;=8, "A", IF(F2&gt;=7, "B", "C")))</f>
        <v>S</v>
      </c>
      <c r="H2" s="13">
        <f ca="1">YEAR(TODAY())-YEAR(D2)</f>
        <v>17</v>
      </c>
      <c r="I2" s="13" t="str">
        <f ca="1">IF(MOD(H2,10)=0,H2&amp;"周岁快乐","")</f>
        <v/>
      </c>
      <c r="J2" s="13" t="str">
        <f ca="1">IF(AND(MONTH(D2)=MONTH(TODAY()),DAY(D2)=DAY(TODAY())),"生日快乐","")</f>
        <v/>
      </c>
    </row>
    <row r="3" spans="1:10" ht="24.6" x14ac:dyDescent="0.4">
      <c r="A3" s="10">
        <v>2</v>
      </c>
      <c r="B3" s="6" t="s">
        <v>22</v>
      </c>
      <c r="C3" s="6" t="s">
        <v>23</v>
      </c>
      <c r="D3" s="7">
        <v>41387</v>
      </c>
      <c r="E3" s="11" t="s">
        <v>12</v>
      </c>
      <c r="F3" s="6">
        <v>9.9</v>
      </c>
      <c r="G3" s="12" t="str">
        <f>IF(AND(F3&lt;=10, F3&gt;=9), "S", IF(F3&gt;=8, "A", IF(F3&gt;=7, "B", "C")))</f>
        <v>S</v>
      </c>
      <c r="H3" s="13">
        <f ca="1">YEAR(TODAY())-YEAR(D3)</f>
        <v>13</v>
      </c>
      <c r="I3" s="13" t="str">
        <f ca="1">IF(MOD(H3,10)=0,H3&amp;"周岁快乐","")</f>
        <v/>
      </c>
      <c r="J3" s="13" t="str">
        <f ca="1">IF(AND(MONTH(D3)=MONTH(TODAY()),DAY(D3)=DAY(TODAY())),"生日快乐","")</f>
        <v/>
      </c>
    </row>
    <row r="4" spans="1:10" ht="24.6" x14ac:dyDescent="0.4">
      <c r="A4" s="10">
        <v>3</v>
      </c>
      <c r="B4" s="6" t="s">
        <v>24</v>
      </c>
      <c r="C4" s="6" t="s">
        <v>25</v>
      </c>
      <c r="D4" s="7">
        <v>40679</v>
      </c>
      <c r="E4" s="11" t="s">
        <v>76</v>
      </c>
      <c r="F4" s="6">
        <v>9.9</v>
      </c>
      <c r="G4" s="12" t="str">
        <f>IF(AND(F4&lt;=10, F4&gt;=9), "S", IF(F4&gt;=8, "A", IF(F4&gt;=7, "B", "C")))</f>
        <v>S</v>
      </c>
      <c r="H4" s="13">
        <f ca="1">YEAR(TODAY())-YEAR(D4)</f>
        <v>15</v>
      </c>
      <c r="I4" s="13" t="str">
        <f ca="1">IF(MOD(H4,10)=0,H4&amp;"周岁快乐","")</f>
        <v/>
      </c>
      <c r="J4" s="13" t="str">
        <f ca="1">IF(AND(MONTH(D4)=MONTH(TODAY()),DAY(D4)=DAY(TODAY())),"生日快乐","")</f>
        <v/>
      </c>
    </row>
    <row r="5" spans="1:10" ht="24.6" x14ac:dyDescent="0.4">
      <c r="A5" s="10">
        <v>4</v>
      </c>
      <c r="B5" s="6" t="s">
        <v>26</v>
      </c>
      <c r="C5" s="6" t="s">
        <v>71</v>
      </c>
      <c r="D5" s="7">
        <v>35755</v>
      </c>
      <c r="E5" s="11" t="s">
        <v>74</v>
      </c>
      <c r="F5" s="6">
        <v>9.9</v>
      </c>
      <c r="G5" s="12" t="str">
        <f>IF(AND(F5&lt;=10, F5&gt;=9), "S", IF(F5&gt;=8, "A", IF(F5&gt;=7, "B", "C")))</f>
        <v>S</v>
      </c>
      <c r="H5" s="13">
        <f ca="1">YEAR(TODAY())-YEAR(D5)</f>
        <v>29</v>
      </c>
      <c r="I5" s="13" t="str">
        <f ca="1">IF(MOD(H5,10)=0,H5&amp;"周岁快乐","")</f>
        <v/>
      </c>
      <c r="J5" s="13" t="str">
        <f ca="1">IF(AND(MONTH(D5)=MONTH(TODAY()),DAY(D5)=DAY(TODAY())),"生日快乐","")</f>
        <v/>
      </c>
    </row>
    <row r="6" spans="1:10" ht="24.6" x14ac:dyDescent="0.4">
      <c r="A6" s="10">
        <v>5</v>
      </c>
      <c r="B6" s="6" t="s">
        <v>27</v>
      </c>
      <c r="C6" s="6" t="s">
        <v>28</v>
      </c>
      <c r="D6" s="7">
        <v>40316</v>
      </c>
      <c r="E6" s="11" t="s">
        <v>12</v>
      </c>
      <c r="F6" s="6">
        <v>9.9</v>
      </c>
      <c r="G6" s="12" t="str">
        <f>IF(AND(F6&lt;=10, F6&gt;=9), "S", IF(F6&gt;=8, "A", IF(F6&gt;=7, "B", "C")))</f>
        <v>S</v>
      </c>
      <c r="H6" s="13">
        <f ca="1">YEAR(TODAY())-YEAR(D6)</f>
        <v>16</v>
      </c>
      <c r="I6" s="13" t="str">
        <f ca="1">IF(MOD(H6,10)=0,H6&amp;"周岁快乐","")</f>
        <v/>
      </c>
      <c r="J6" s="13" t="str">
        <f ca="1">IF(AND(MONTH(D6)=MONTH(TODAY()),DAY(D6)=DAY(TODAY())),"生日快乐","")</f>
        <v/>
      </c>
    </row>
    <row r="7" spans="1:10" ht="24.6" x14ac:dyDescent="0.4">
      <c r="A7" s="10">
        <v>6</v>
      </c>
      <c r="B7" s="6" t="s">
        <v>29</v>
      </c>
      <c r="C7" s="6" t="s">
        <v>30</v>
      </c>
      <c r="D7" s="7">
        <v>39938</v>
      </c>
      <c r="E7" s="11" t="s">
        <v>12</v>
      </c>
      <c r="F7" s="6">
        <v>9.9</v>
      </c>
      <c r="G7" s="12" t="str">
        <f>IF(AND(F7&lt;=10, F7&gt;=9), "S", IF(F7&gt;=8, "A", IF(F7&gt;=7, "B", "C")))</f>
        <v>S</v>
      </c>
      <c r="H7" s="13">
        <f ca="1">YEAR(TODAY())-YEAR(D7)</f>
        <v>17</v>
      </c>
      <c r="I7" s="13" t="str">
        <f ca="1">IF(MOD(H7,10)=0,H7&amp;"周岁快乐","")</f>
        <v/>
      </c>
      <c r="J7" s="13" t="str">
        <f ca="1">IF(AND(MONTH(D7)=MONTH(TODAY()),DAY(D7)=DAY(TODAY())),"生日快乐","")</f>
        <v/>
      </c>
    </row>
    <row r="8" spans="1:10" ht="24.6" x14ac:dyDescent="0.4">
      <c r="A8" s="10">
        <v>7</v>
      </c>
      <c r="B8" s="6" t="s">
        <v>31</v>
      </c>
      <c r="C8" s="6" t="s">
        <v>72</v>
      </c>
      <c r="D8" s="7">
        <v>41521</v>
      </c>
      <c r="E8" s="11" t="s">
        <v>12</v>
      </c>
      <c r="F8" s="6">
        <v>9.8000000000000007</v>
      </c>
      <c r="G8" s="12" t="str">
        <f>IF(AND(F8&lt;=10, F8&gt;=9), "S", IF(F8&gt;=8, "A", IF(F8&gt;=7, "B", "C")))</f>
        <v>S</v>
      </c>
      <c r="H8" s="13">
        <f ca="1">YEAR(TODAY())-YEAR(D8)</f>
        <v>13</v>
      </c>
      <c r="I8" s="13" t="str">
        <f ca="1">IF(MOD(H8,10)=0,H8&amp;"周岁快乐","")</f>
        <v/>
      </c>
      <c r="J8" s="13" t="str">
        <f ca="1">IF(AND(MONTH(D8)=MONTH(TODAY()),DAY(D8)=DAY(TODAY())),"生日快乐","")</f>
        <v/>
      </c>
    </row>
    <row r="9" spans="1:10" ht="24.6" x14ac:dyDescent="0.4">
      <c r="A9" s="10">
        <v>8</v>
      </c>
      <c r="B9" s="6" t="s">
        <v>32</v>
      </c>
      <c r="C9" s="6" t="s">
        <v>33</v>
      </c>
      <c r="D9" s="7">
        <v>36223</v>
      </c>
      <c r="E9" s="11" t="s">
        <v>12</v>
      </c>
      <c r="F9" s="6">
        <v>9.8000000000000007</v>
      </c>
      <c r="G9" s="12" t="str">
        <f>IF(AND(F9&lt;=10, F9&gt;=9), "S", IF(F9&gt;=8, "A", IF(F9&gt;=7, "B", "C")))</f>
        <v>S</v>
      </c>
      <c r="H9" s="13">
        <f ca="1">YEAR(TODAY())-YEAR(D9)</f>
        <v>27</v>
      </c>
      <c r="I9" s="13" t="str">
        <f ca="1">IF(MOD(H9,10)=0,H9&amp;"周岁快乐","")</f>
        <v/>
      </c>
      <c r="J9" s="13" t="str">
        <f ca="1">IF(AND(MONTH(D9)=MONTH(TODAY()),DAY(D9)=DAY(TODAY())),"生日快乐","")</f>
        <v/>
      </c>
    </row>
    <row r="10" spans="1:10" ht="24.6" x14ac:dyDescent="0.4">
      <c r="A10" s="10">
        <v>9</v>
      </c>
      <c r="B10" s="6" t="s">
        <v>34</v>
      </c>
      <c r="C10" s="6" t="s">
        <v>35</v>
      </c>
      <c r="D10" s="7">
        <v>37238</v>
      </c>
      <c r="E10" s="11" t="s">
        <v>75</v>
      </c>
      <c r="F10" s="6">
        <v>9.8000000000000007</v>
      </c>
      <c r="G10" s="12" t="str">
        <f>IF(AND(F10&lt;=10, F10&gt;=9), "S", IF(F10&gt;=8, "A", IF(F10&gt;=7, "B", "C")))</f>
        <v>S</v>
      </c>
      <c r="H10" s="13">
        <f ca="1">YEAR(TODAY())-YEAR(D10)</f>
        <v>25</v>
      </c>
      <c r="I10" s="13" t="str">
        <f ca="1">IF(MOD(H10,10)=0,H10&amp;"周岁快乐","")</f>
        <v/>
      </c>
      <c r="J10" s="13" t="str">
        <f ca="1">IF(AND(MONTH(D10)=MONTH(TODAY()),DAY(D10)=DAY(TODAY())),"生日快乐","")</f>
        <v/>
      </c>
    </row>
    <row r="11" spans="1:10" ht="24.6" x14ac:dyDescent="0.4">
      <c r="A11" s="10">
        <v>10</v>
      </c>
      <c r="B11" s="6" t="s">
        <v>36</v>
      </c>
      <c r="C11" s="6" t="s">
        <v>73</v>
      </c>
      <c r="D11" s="7">
        <v>41926</v>
      </c>
      <c r="E11" s="11" t="s">
        <v>75</v>
      </c>
      <c r="F11" s="6">
        <v>9.8000000000000007</v>
      </c>
      <c r="G11" s="12" t="str">
        <f>IF(AND(F11&lt;=10, F11&gt;=9), "S", IF(F11&gt;=8, "A", IF(F11&gt;=7, "B", "C")))</f>
        <v>S</v>
      </c>
      <c r="H11" s="13">
        <f ca="1">YEAR(TODAY())-YEAR(D11)</f>
        <v>12</v>
      </c>
      <c r="I11" s="13" t="str">
        <f ca="1">IF(MOD(H11,10)=0,H11&amp;"周岁快乐","")</f>
        <v/>
      </c>
      <c r="J11" s="13" t="str">
        <f ca="1">IF(AND(MONTH(D11)=MONTH(TODAY()),DAY(D11)=DAY(TODAY())),"生日快乐","")</f>
        <v/>
      </c>
    </row>
    <row r="12" spans="1:10" ht="24.6" x14ac:dyDescent="0.4">
      <c r="A12" s="10">
        <v>11</v>
      </c>
      <c r="B12" s="6" t="s">
        <v>37</v>
      </c>
      <c r="C12" s="6" t="s">
        <v>38</v>
      </c>
      <c r="D12" s="7">
        <v>43375</v>
      </c>
      <c r="E12" s="11" t="s">
        <v>75</v>
      </c>
      <c r="F12" s="6">
        <v>9.8000000000000007</v>
      </c>
      <c r="G12" s="12" t="str">
        <f>IF(AND(F12&lt;=10, F12&gt;=9), "S", IF(F12&gt;=8, "A", IF(F12&gt;=7, "B", "C")))</f>
        <v>S</v>
      </c>
      <c r="H12" s="13">
        <f ca="1">YEAR(TODAY())-YEAR(D12)</f>
        <v>8</v>
      </c>
      <c r="I12" s="13" t="str">
        <f ca="1">IF(MOD(H12,10)=0,H12&amp;"周岁快乐","")</f>
        <v/>
      </c>
      <c r="J12" s="13" t="str">
        <f ca="1">IF(AND(MONTH(D12)=MONTH(TODAY()),DAY(D12)=DAY(TODAY())),"生日快乐","")</f>
        <v/>
      </c>
    </row>
    <row r="13" spans="1:10" ht="24.6" x14ac:dyDescent="0.4">
      <c r="A13" s="10">
        <v>12</v>
      </c>
      <c r="B13" s="6" t="s">
        <v>39</v>
      </c>
      <c r="C13" s="6" t="s">
        <v>40</v>
      </c>
      <c r="D13" s="7">
        <v>42073</v>
      </c>
      <c r="E13" s="11" t="s">
        <v>12</v>
      </c>
      <c r="F13" s="6">
        <v>9.8000000000000007</v>
      </c>
      <c r="G13" s="12" t="str">
        <f>IF(AND(F13&lt;=10, F13&gt;=9), "S", IF(F13&gt;=8, "A", IF(F13&gt;=7, "B", "C")))</f>
        <v>S</v>
      </c>
      <c r="H13" s="13">
        <f ca="1">YEAR(TODAY())-YEAR(D13)</f>
        <v>11</v>
      </c>
      <c r="I13" s="13" t="str">
        <f ca="1">IF(MOD(H13,10)=0,H13&amp;"周岁快乐","")</f>
        <v/>
      </c>
      <c r="J13" s="13" t="str">
        <f ca="1">IF(AND(MONTH(D13)=MONTH(TODAY()),DAY(D13)=DAY(TODAY())),"生日快乐","")</f>
        <v/>
      </c>
    </row>
    <row r="14" spans="1:10" ht="24.6" x14ac:dyDescent="0.4">
      <c r="A14" s="10">
        <v>13</v>
      </c>
      <c r="B14" s="6" t="s">
        <v>41</v>
      </c>
      <c r="C14" s="6" t="s">
        <v>42</v>
      </c>
      <c r="D14" s="7">
        <v>44029</v>
      </c>
      <c r="E14" s="11" t="s">
        <v>75</v>
      </c>
      <c r="F14" s="6">
        <v>9.8000000000000007</v>
      </c>
      <c r="G14" s="12" t="str">
        <f>IF(AND(F14&lt;=10, F14&gt;=9), "S", IF(F14&gt;=8, "A", IF(F14&gt;=7, "B", "C")))</f>
        <v>S</v>
      </c>
      <c r="H14" s="13">
        <f ca="1">YEAR(TODAY())-YEAR(D14)</f>
        <v>6</v>
      </c>
      <c r="I14" s="13" t="str">
        <f ca="1">IF(MOD(H14,10)=0,H14&amp;"周岁快乐","")</f>
        <v/>
      </c>
      <c r="J14" s="13" t="str">
        <f ca="1">IF(AND(MONTH(D14)=MONTH(TODAY()),DAY(D14)=DAY(TODAY())),"生日快乐","")</f>
        <v/>
      </c>
    </row>
    <row r="15" spans="1:10" ht="24.6" x14ac:dyDescent="0.4">
      <c r="A15" s="10">
        <v>14</v>
      </c>
      <c r="B15" s="6" t="s">
        <v>43</v>
      </c>
      <c r="C15" s="6" t="s">
        <v>44</v>
      </c>
      <c r="D15" s="7">
        <v>41789</v>
      </c>
      <c r="E15" s="11" t="s">
        <v>12</v>
      </c>
      <c r="F15" s="6">
        <v>9.8000000000000007</v>
      </c>
      <c r="G15" s="12" t="str">
        <f>IF(AND(F15&lt;=10, F15&gt;=9), "S", IF(F15&gt;=8, "A", IF(F15&gt;=7, "B", "C")))</f>
        <v>S</v>
      </c>
      <c r="H15" s="13">
        <f ca="1">YEAR(TODAY())-YEAR(D15)</f>
        <v>12</v>
      </c>
      <c r="I15" s="13" t="str">
        <f ca="1">IF(MOD(H15,10)=0,H15&amp;"周岁快乐","")</f>
        <v/>
      </c>
      <c r="J15" s="13" t="str">
        <f ca="1">IF(AND(MONTH(D15)=MONTH(TODAY()),DAY(D15)=DAY(TODAY())),"生日快乐","")</f>
        <v/>
      </c>
    </row>
    <row r="16" spans="1:10" ht="24.6" x14ac:dyDescent="0.4">
      <c r="A16" s="10">
        <v>15</v>
      </c>
      <c r="B16" s="6" t="s">
        <v>45</v>
      </c>
      <c r="C16" s="6" t="s">
        <v>46</v>
      </c>
      <c r="D16" s="7">
        <v>43123</v>
      </c>
      <c r="E16" s="11" t="s">
        <v>75</v>
      </c>
      <c r="F16" s="6">
        <v>9.8000000000000007</v>
      </c>
      <c r="G16" s="12" t="str">
        <f>IF(AND(F16&lt;=10, F16&gt;=9), "S", IF(F16&gt;=8, "A", IF(F16&gt;=7, "B", "C")))</f>
        <v>S</v>
      </c>
      <c r="H16" s="13">
        <f ca="1">YEAR(TODAY())-YEAR(D16)</f>
        <v>8</v>
      </c>
      <c r="I16" s="13" t="str">
        <f ca="1">IF(MOD(H16,10)=0,H16&amp;"周岁快乐","")</f>
        <v/>
      </c>
      <c r="J16" s="13" t="str">
        <f ca="1">IF(AND(MONTH(D16)=MONTH(TODAY()),DAY(D16)=DAY(TODAY())),"生日快乐","")</f>
        <v/>
      </c>
    </row>
    <row r="17" spans="1:10" ht="24.6" x14ac:dyDescent="0.4">
      <c r="A17" s="10">
        <v>16</v>
      </c>
      <c r="B17" s="6" t="s">
        <v>47</v>
      </c>
      <c r="C17" s="6" t="s">
        <v>48</v>
      </c>
      <c r="D17" s="7">
        <v>42027</v>
      </c>
      <c r="E17" s="11" t="s">
        <v>12</v>
      </c>
      <c r="F17" s="6">
        <v>9.8000000000000007</v>
      </c>
      <c r="G17" s="12" t="str">
        <f>IF(AND(F17&lt;=10, F17&gt;=9), "S", IF(F17&gt;=8, "A", IF(F17&gt;=7, "B", "C")))</f>
        <v>S</v>
      </c>
      <c r="H17" s="13">
        <f ca="1">YEAR(TODAY())-YEAR(D17)</f>
        <v>11</v>
      </c>
      <c r="I17" s="13" t="str">
        <f ca="1">IF(MOD(H17,10)=0,H17&amp;"周岁快乐","")</f>
        <v/>
      </c>
      <c r="J17" s="13" t="str">
        <f ca="1">IF(AND(MONTH(D17)=MONTH(TODAY()),DAY(D17)=DAY(TODAY())),"生日快乐","")</f>
        <v/>
      </c>
    </row>
    <row r="18" spans="1:10" ht="24.6" x14ac:dyDescent="0.4">
      <c r="A18" s="10">
        <v>17</v>
      </c>
      <c r="B18" s="6" t="s">
        <v>49</v>
      </c>
      <c r="C18" s="6" t="s">
        <v>50</v>
      </c>
      <c r="D18" s="7">
        <v>41786</v>
      </c>
      <c r="E18" s="11" t="s">
        <v>12</v>
      </c>
      <c r="F18" s="6">
        <v>9.6999999999999993</v>
      </c>
      <c r="G18" s="12" t="str">
        <f>IF(AND(F18&lt;=10, F18&gt;=9), "S", IF(F18&gt;=8, "A", IF(F18&gt;=7, "B", "C")))</f>
        <v>S</v>
      </c>
      <c r="H18" s="13">
        <f ca="1">YEAR(TODAY())-YEAR(D18)</f>
        <v>12</v>
      </c>
      <c r="I18" s="13" t="str">
        <f ca="1">IF(MOD(H18,10)=0,H18&amp;"周岁快乐","")</f>
        <v/>
      </c>
      <c r="J18" s="13" t="str">
        <f ca="1">IF(AND(MONTH(D18)=MONTH(TODAY()),DAY(D18)=DAY(TODAY())),"生日快乐","")</f>
        <v/>
      </c>
    </row>
    <row r="19" spans="1:10" ht="24.6" x14ac:dyDescent="0.4">
      <c r="A19" s="10">
        <v>18</v>
      </c>
      <c r="B19" s="6" t="s">
        <v>51</v>
      </c>
      <c r="C19" s="6" t="s">
        <v>52</v>
      </c>
      <c r="D19" s="7">
        <v>43973</v>
      </c>
      <c r="E19" s="11" t="s">
        <v>75</v>
      </c>
      <c r="F19" s="6">
        <v>9.6999999999999993</v>
      </c>
      <c r="G19" s="12" t="str">
        <f>IF(AND(F19&lt;=10, F19&gt;=9), "S", IF(F19&gt;=8, "A", IF(F19&gt;=7, "B", "C")))</f>
        <v>S</v>
      </c>
      <c r="H19" s="13">
        <f ca="1">YEAR(TODAY())-YEAR(D19)</f>
        <v>6</v>
      </c>
      <c r="I19" s="13" t="str">
        <f ca="1">IF(MOD(H19,10)=0,H19&amp;"周岁快乐","")</f>
        <v/>
      </c>
      <c r="J19" s="13" t="str">
        <f ca="1">IF(AND(MONTH(D19)=MONTH(TODAY()),DAY(D19)=DAY(TODAY())),"生日快乐","")</f>
        <v/>
      </c>
    </row>
    <row r="20" spans="1:10" ht="24.6" x14ac:dyDescent="0.4">
      <c r="A20" s="10">
        <v>19</v>
      </c>
      <c r="B20" s="6" t="s">
        <v>53</v>
      </c>
      <c r="C20" s="6" t="s">
        <v>54</v>
      </c>
      <c r="D20" s="7">
        <v>43651</v>
      </c>
      <c r="E20" s="11" t="s">
        <v>75</v>
      </c>
      <c r="F20" s="6">
        <v>9.6999999999999993</v>
      </c>
      <c r="G20" s="12" t="str">
        <f>IF(AND(F20&lt;=10, F20&gt;=9), "S", IF(F20&gt;=8, "A", IF(F20&gt;=7, "B", "C")))</f>
        <v>S</v>
      </c>
      <c r="H20" s="13">
        <f ca="1">YEAR(TODAY())-YEAR(D20)</f>
        <v>7</v>
      </c>
      <c r="I20" s="13" t="str">
        <f ca="1">IF(MOD(H20,10)=0,H20&amp;"周岁快乐","")</f>
        <v/>
      </c>
      <c r="J20" s="13" t="str">
        <f ca="1">IF(AND(MONTH(D20)=MONTH(TODAY()),DAY(D20)=DAY(TODAY())),"生日快乐","")</f>
        <v/>
      </c>
    </row>
    <row r="21" spans="1:10" ht="24.6" x14ac:dyDescent="0.4">
      <c r="A21" s="10">
        <v>20</v>
      </c>
      <c r="B21" s="6" t="s">
        <v>59</v>
      </c>
      <c r="C21" s="6" t="s">
        <v>60</v>
      </c>
      <c r="D21" s="7">
        <v>39552</v>
      </c>
      <c r="E21" s="11" t="s">
        <v>12</v>
      </c>
      <c r="F21" s="6">
        <v>9.6999999999999993</v>
      </c>
      <c r="G21" s="12" t="str">
        <f>IF(AND(F21&lt;=10, F21&gt;=9), "S", IF(F21&gt;=8, "A", IF(F21&gt;=7, "B", "C")))</f>
        <v>S</v>
      </c>
      <c r="H21" s="13">
        <f ca="1">YEAR(TODAY())-YEAR(D21)</f>
        <v>18</v>
      </c>
      <c r="I21" s="13" t="str">
        <f ca="1">IF(MOD(H21,10)=0,H21&amp;"周岁快乐","")</f>
        <v/>
      </c>
      <c r="J21" s="13" t="str">
        <f ca="1">IF(AND(MONTH(D21)=MONTH(TODAY()),DAY(D21)=DAY(TODAY())),"生日快乐","")</f>
        <v/>
      </c>
    </row>
    <row r="22" spans="1:10" ht="24.6" x14ac:dyDescent="0.4">
      <c r="A22" s="10">
        <v>21</v>
      </c>
      <c r="B22" s="6" t="s">
        <v>63</v>
      </c>
      <c r="C22" s="6" t="s">
        <v>64</v>
      </c>
      <c r="D22" s="7">
        <v>34571</v>
      </c>
      <c r="E22" s="11" t="s">
        <v>12</v>
      </c>
      <c r="F22" s="6">
        <v>9.6999999999999993</v>
      </c>
      <c r="G22" s="12" t="str">
        <f>IF(AND(F22&lt;=10, F22&gt;=9), "S", IF(F22&gt;=8, "A", IF(F22&gt;=7, "B", "C")))</f>
        <v>S</v>
      </c>
      <c r="H22" s="13">
        <f ca="1">YEAR(TODAY())-YEAR(D22)</f>
        <v>32</v>
      </c>
      <c r="I22" s="13" t="str">
        <f ca="1">IF(MOD(H22,10)=0,H22&amp;"周岁快乐","")</f>
        <v/>
      </c>
      <c r="J22" s="13" t="str">
        <f ca="1">IF(AND(MONTH(D22)=MONTH(TODAY()),DAY(D22)=DAY(TODAY())),"生日快乐","")</f>
        <v/>
      </c>
    </row>
    <row r="23" spans="1:10" ht="24.6" x14ac:dyDescent="0.4">
      <c r="A23" s="10">
        <v>22</v>
      </c>
      <c r="B23" s="6" t="s">
        <v>69</v>
      </c>
      <c r="C23" s="6" t="s">
        <v>70</v>
      </c>
      <c r="D23" s="7">
        <v>40807</v>
      </c>
      <c r="E23" s="11" t="s">
        <v>12</v>
      </c>
      <c r="F23" s="6">
        <v>9.6999999999999993</v>
      </c>
      <c r="G23" s="12" t="str">
        <f>IF(AND(F23&lt;=10, F23&gt;=9), "S", IF(F23&gt;=8, "A", IF(F23&gt;=7, "B", "C")))</f>
        <v>S</v>
      </c>
      <c r="H23" s="13">
        <f ca="1">YEAR(TODAY())-YEAR(D23)</f>
        <v>15</v>
      </c>
      <c r="I23" s="13" t="str">
        <f ca="1">IF(MOD(H23,10)=0,H23&amp;"周岁快乐","")</f>
        <v/>
      </c>
      <c r="J23" s="13" t="str">
        <f ca="1">IF(AND(MONTH(D23)=MONTH(TODAY()),DAY(D23)=DAY(TODAY())),"生日快乐","")</f>
        <v/>
      </c>
    </row>
    <row r="24" spans="1:10" ht="24.6" x14ac:dyDescent="0.4">
      <c r="A24" s="10">
        <v>23</v>
      </c>
      <c r="B24" s="6" t="s">
        <v>266</v>
      </c>
      <c r="C24" s="6" t="s">
        <v>106</v>
      </c>
      <c r="D24" s="7">
        <v>39973</v>
      </c>
      <c r="E24" s="11" t="s">
        <v>13</v>
      </c>
      <c r="F24" s="6">
        <v>9.6999999999999993</v>
      </c>
      <c r="G24" s="12" t="str">
        <f>IF(AND(F24&lt;=10, F24&gt;=9), "S", IF(F24&gt;=8, "A", IF(F24&gt;=7, "B", "C")))</f>
        <v>S</v>
      </c>
      <c r="H24" s="13">
        <f ca="1">YEAR(TODAY())-YEAR(D24)</f>
        <v>17</v>
      </c>
      <c r="I24" s="13" t="str">
        <f ca="1">IF(MOD(H24,10)=0,H24&amp;"周岁快乐","")</f>
        <v/>
      </c>
      <c r="J24" s="13" t="str">
        <f ca="1">IF(AND(MONTH(D24)=MONTH(TODAY()),DAY(D24)=DAY(TODAY())),"生日快乐","")</f>
        <v/>
      </c>
    </row>
    <row r="25" spans="1:10" ht="24.6" x14ac:dyDescent="0.4">
      <c r="A25" s="10">
        <v>24</v>
      </c>
      <c r="B25" s="6" t="s">
        <v>269</v>
      </c>
      <c r="C25" s="6" t="s">
        <v>270</v>
      </c>
      <c r="D25" s="7">
        <v>43546</v>
      </c>
      <c r="E25" s="11" t="s">
        <v>13</v>
      </c>
      <c r="F25" s="6">
        <v>9.6999999999999993</v>
      </c>
      <c r="G25" s="12" t="str">
        <f>IF(AND(F25&lt;=10, F25&gt;=9), "S", IF(F25&gt;=8, "A", IF(F25&gt;=7, "B", "C")))</f>
        <v>S</v>
      </c>
      <c r="H25" s="13">
        <f ca="1">YEAR(TODAY())-YEAR(D25)</f>
        <v>7</v>
      </c>
      <c r="I25" s="13" t="str">
        <f ca="1">IF(MOD(H25,10)=0,H25&amp;"周岁快乐","")</f>
        <v/>
      </c>
      <c r="J25" s="13" t="str">
        <f ca="1">IF(AND(MONTH(D25)=MONTH(TODAY()),DAY(D25)=DAY(TODAY())),"生日快乐","")</f>
        <v/>
      </c>
    </row>
    <row r="26" spans="1:10" ht="24.6" x14ac:dyDescent="0.4">
      <c r="A26" s="10">
        <v>25</v>
      </c>
      <c r="B26" s="6" t="s">
        <v>271</v>
      </c>
      <c r="C26" s="6" t="s">
        <v>106</v>
      </c>
      <c r="D26" s="7">
        <v>41439</v>
      </c>
      <c r="E26" s="11" t="s">
        <v>13</v>
      </c>
      <c r="F26" s="6">
        <v>9.6999999999999993</v>
      </c>
      <c r="G26" s="12" t="str">
        <f>IF(AND(F26&lt;=10, F26&gt;=9), "S", IF(F26&gt;=8, "A", IF(F26&gt;=7, "B", "C")))</f>
        <v>S</v>
      </c>
      <c r="H26" s="13">
        <f ca="1">YEAR(TODAY())-YEAR(D26)</f>
        <v>13</v>
      </c>
      <c r="I26" s="13" t="str">
        <f ca="1">IF(MOD(H26,10)=0,H26&amp;"周岁快乐","")</f>
        <v/>
      </c>
      <c r="J26" s="13" t="str">
        <f ca="1">IF(AND(MONTH(D26)=MONTH(TODAY()),DAY(D26)=DAY(TODAY())),"生日快乐","")</f>
        <v/>
      </c>
    </row>
    <row r="27" spans="1:10" ht="24.6" x14ac:dyDescent="0.4">
      <c r="A27" s="10">
        <v>26</v>
      </c>
      <c r="B27" s="6" t="s">
        <v>272</v>
      </c>
      <c r="C27" s="6" t="s">
        <v>273</v>
      </c>
      <c r="D27" s="7">
        <v>45524</v>
      </c>
      <c r="E27" s="11" t="s">
        <v>13</v>
      </c>
      <c r="F27" s="6">
        <v>9.6999999999999993</v>
      </c>
      <c r="G27" s="12" t="str">
        <f>IF(AND(F27&lt;=10, F27&gt;=9), "S", IF(F27&gt;=8, "A", IF(F27&gt;=7, "B", "C")))</f>
        <v>S</v>
      </c>
      <c r="H27" s="13">
        <f ca="1">YEAR(TODAY())-YEAR(D27)</f>
        <v>2</v>
      </c>
      <c r="I27" s="13" t="str">
        <f ca="1">IF(MOD(H27,10)=0,H27&amp;"周岁快乐","")</f>
        <v/>
      </c>
      <c r="J27" s="13" t="str">
        <f ca="1">IF(AND(MONTH(D27)=MONTH(TODAY()),DAY(D27)=DAY(TODAY())),"生日快乐","")</f>
        <v/>
      </c>
    </row>
    <row r="28" spans="1:10" ht="24.6" x14ac:dyDescent="0.4">
      <c r="A28" s="10">
        <v>27</v>
      </c>
      <c r="B28" s="6" t="s">
        <v>55</v>
      </c>
      <c r="C28" s="6" t="s">
        <v>56</v>
      </c>
      <c r="D28" s="7">
        <v>44600</v>
      </c>
      <c r="E28" s="11" t="s">
        <v>75</v>
      </c>
      <c r="F28" s="6">
        <v>9.6</v>
      </c>
      <c r="G28" s="12" t="str">
        <f>IF(AND(F28&lt;=10, F28&gt;=9), "S", IF(F28&gt;=8, "A", IF(F28&gt;=7, "B", "C")))</f>
        <v>S</v>
      </c>
      <c r="H28" s="13">
        <f ca="1">YEAR(TODAY())-YEAR(D28)</f>
        <v>4</v>
      </c>
      <c r="I28" s="13" t="str">
        <f ca="1">IF(MOD(H28,10)=0,H28&amp;"周岁快乐","")</f>
        <v/>
      </c>
      <c r="J28" s="13" t="str">
        <f ca="1">IF(AND(MONTH(D28)=MONTH(TODAY()),DAY(D28)=DAY(TODAY())),"生日快乐","")</f>
        <v/>
      </c>
    </row>
    <row r="29" spans="1:10" ht="24.6" x14ac:dyDescent="0.4">
      <c r="A29" s="10">
        <v>28</v>
      </c>
      <c r="B29" s="6" t="s">
        <v>61</v>
      </c>
      <c r="C29" s="6" t="s">
        <v>62</v>
      </c>
      <c r="D29" s="7">
        <v>42775</v>
      </c>
      <c r="E29" s="11" t="s">
        <v>12</v>
      </c>
      <c r="F29" s="6">
        <v>9.6</v>
      </c>
      <c r="G29" s="12" t="str">
        <f>IF(AND(F29&lt;=10, F29&gt;=9), "S", IF(F29&gt;=8, "A", IF(F29&gt;=7, "B", "C")))</f>
        <v>S</v>
      </c>
      <c r="H29" s="13">
        <f ca="1">YEAR(TODAY())-YEAR(D29)</f>
        <v>9</v>
      </c>
      <c r="I29" s="13" t="str">
        <f ca="1">IF(MOD(H29,10)=0,H29&amp;"周岁快乐","")</f>
        <v/>
      </c>
      <c r="J29" s="13" t="str">
        <f ca="1">IF(AND(MONTH(D29)=MONTH(TODAY()),DAY(D29)=DAY(TODAY())),"生日快乐","")</f>
        <v/>
      </c>
    </row>
    <row r="30" spans="1:10" ht="24.6" x14ac:dyDescent="0.4">
      <c r="A30" s="10">
        <v>29</v>
      </c>
      <c r="B30" s="6" t="s">
        <v>218</v>
      </c>
      <c r="C30" s="6" t="s">
        <v>219</v>
      </c>
      <c r="D30" s="7">
        <v>43243</v>
      </c>
      <c r="E30" s="11" t="s">
        <v>13</v>
      </c>
      <c r="F30" s="6">
        <v>9.6</v>
      </c>
      <c r="G30" s="12" t="str">
        <f>IF(AND(F30&lt;=10, F30&gt;=9), "S", IF(F30&gt;=8, "A", IF(F30&gt;=7, "B", "C")))</f>
        <v>S</v>
      </c>
      <c r="H30" s="13">
        <f ca="1">YEAR(TODAY())-YEAR(D30)</f>
        <v>8</v>
      </c>
      <c r="I30" s="13" t="str">
        <f ca="1">IF(MOD(H30,10)=0,H30&amp;"周岁快乐","")</f>
        <v/>
      </c>
      <c r="J30" s="13" t="str">
        <f ca="1">IF(AND(MONTH(D30)=MONTH(TODAY()),DAY(D30)=DAY(TODAY())),"生日快乐","")</f>
        <v/>
      </c>
    </row>
    <row r="31" spans="1:10" ht="24.6" x14ac:dyDescent="0.4">
      <c r="A31" s="10">
        <v>30</v>
      </c>
      <c r="B31" s="6" t="s">
        <v>224</v>
      </c>
      <c r="C31" s="6" t="s">
        <v>225</v>
      </c>
      <c r="D31" s="7">
        <v>44832</v>
      </c>
      <c r="E31" s="11" t="s">
        <v>13</v>
      </c>
      <c r="F31" s="6">
        <v>9.6</v>
      </c>
      <c r="G31" s="12" t="str">
        <f>IF(AND(F31&lt;=10, F31&gt;=9), "S", IF(F31&gt;=8, "A", IF(F31&gt;=7, "B", "C")))</f>
        <v>S</v>
      </c>
      <c r="H31" s="13">
        <f ca="1">YEAR(TODAY())-YEAR(D31)</f>
        <v>4</v>
      </c>
      <c r="I31" s="13" t="str">
        <f ca="1">IF(MOD(H31,10)=0,H31&amp;"周岁快乐","")</f>
        <v/>
      </c>
      <c r="J31" s="13" t="str">
        <f ca="1">IF(AND(MONTH(D31)=MONTH(TODAY()),DAY(D31)=DAY(TODAY())),"生日快乐","")</f>
        <v/>
      </c>
    </row>
    <row r="32" spans="1:10" ht="24.6" x14ac:dyDescent="0.4">
      <c r="A32" s="10">
        <v>31</v>
      </c>
      <c r="B32" s="6" t="s">
        <v>267</v>
      </c>
      <c r="C32" s="6" t="s">
        <v>268</v>
      </c>
      <c r="D32" s="7">
        <v>42427</v>
      </c>
      <c r="E32" s="11" t="s">
        <v>13</v>
      </c>
      <c r="F32" s="6">
        <v>9.6</v>
      </c>
      <c r="G32" s="12" t="str">
        <f>IF(AND(F32&lt;=10, F32&gt;=9), "S", IF(F32&gt;=8, "A", IF(F32&gt;=7, "B", "C")))</f>
        <v>S</v>
      </c>
      <c r="H32" s="13">
        <f ca="1">YEAR(TODAY())-YEAR(D32)</f>
        <v>10</v>
      </c>
      <c r="I32" s="13" t="str">
        <f ca="1">IF(MOD(H32,10)=0,H32&amp;"周岁快乐","")</f>
        <v>10周岁快乐</v>
      </c>
      <c r="J32" s="13" t="str">
        <f ca="1">IF(AND(MONTH(D32)=MONTH(TODAY()),DAY(D32)=DAY(TODAY())),"生日快乐","")</f>
        <v/>
      </c>
    </row>
    <row r="33" spans="1:10" ht="24.6" x14ac:dyDescent="0.4">
      <c r="A33" s="10">
        <v>32</v>
      </c>
      <c r="B33" s="6" t="s">
        <v>274</v>
      </c>
      <c r="C33" s="6" t="s">
        <v>275</v>
      </c>
      <c r="D33" s="7">
        <v>46254</v>
      </c>
      <c r="E33" s="11" t="s">
        <v>13</v>
      </c>
      <c r="F33" s="6">
        <v>9.6</v>
      </c>
      <c r="G33" s="12" t="str">
        <f>IF(AND(F33&lt;=10, F33&gt;=9), "S", IF(F33&gt;=8, "A", IF(F33&gt;=7, "B", "C")))</f>
        <v>S</v>
      </c>
      <c r="H33" s="13">
        <f ca="1">YEAR(TODAY())-YEAR(D33)</f>
        <v>0</v>
      </c>
      <c r="I33" s="13" t="str">
        <f ca="1">IF(MOD(H33,10)=0,H33&amp;"周岁快乐","")</f>
        <v>0周岁快乐</v>
      </c>
      <c r="J33" s="13" t="str">
        <f ca="1">IF(AND(MONTH(D33)=MONTH(TODAY()),DAY(D33)=DAY(TODAY())),"生日快乐","")</f>
        <v/>
      </c>
    </row>
    <row r="34" spans="1:10" ht="24.6" x14ac:dyDescent="0.4">
      <c r="A34" s="10">
        <v>33</v>
      </c>
      <c r="B34" s="6" t="s">
        <v>57</v>
      </c>
      <c r="C34" s="6" t="s">
        <v>58</v>
      </c>
      <c r="D34" s="7">
        <v>43571</v>
      </c>
      <c r="E34" s="11" t="s">
        <v>75</v>
      </c>
      <c r="F34" s="6">
        <v>9.5</v>
      </c>
      <c r="G34" s="12" t="str">
        <f>IF(AND(F34&lt;=10, F34&gt;=9), "S", IF(F34&gt;=8, "A", IF(F34&gt;=7, "B", "C")))</f>
        <v>S</v>
      </c>
      <c r="H34" s="13">
        <f ca="1">YEAR(TODAY())-YEAR(D34)</f>
        <v>7</v>
      </c>
      <c r="I34" s="13" t="str">
        <f ca="1">IF(MOD(H34,10)=0,H34&amp;"周岁快乐","")</f>
        <v/>
      </c>
      <c r="J34" s="13" t="str">
        <f ca="1">IF(AND(MONTH(D34)=MONTH(TODAY()),DAY(D34)=DAY(TODAY())),"生日快乐","")</f>
        <v/>
      </c>
    </row>
    <row r="35" spans="1:10" ht="24.6" x14ac:dyDescent="0.4">
      <c r="A35" s="10">
        <v>34</v>
      </c>
      <c r="B35" s="6" t="s">
        <v>65</v>
      </c>
      <c r="C35" s="6" t="s">
        <v>66</v>
      </c>
      <c r="D35" s="7">
        <v>30839</v>
      </c>
      <c r="E35" s="11" t="s">
        <v>75</v>
      </c>
      <c r="F35" s="6">
        <v>9.5</v>
      </c>
      <c r="G35" s="12" t="str">
        <f>IF(AND(F35&lt;=10, F35&gt;=9), "S", IF(F35&gt;=8, "A", IF(F35&gt;=7, "B", "C")))</f>
        <v>S</v>
      </c>
      <c r="H35" s="13">
        <f ca="1">YEAR(TODAY())-YEAR(D35)</f>
        <v>42</v>
      </c>
      <c r="I35" s="13" t="str">
        <f ca="1">IF(MOD(H35,10)=0,H35&amp;"周岁快乐","")</f>
        <v/>
      </c>
      <c r="J35" s="13" t="str">
        <f ca="1">IF(AND(MONTH(D35)=MONTH(TODAY()),DAY(D35)=DAY(TODAY())),"生日快乐","")</f>
        <v/>
      </c>
    </row>
    <row r="36" spans="1:10" ht="24.6" x14ac:dyDescent="0.4">
      <c r="A36" s="10">
        <v>35</v>
      </c>
      <c r="B36" s="6" t="s">
        <v>67</v>
      </c>
      <c r="C36" s="6" t="s">
        <v>68</v>
      </c>
      <c r="D36" s="7">
        <v>43746</v>
      </c>
      <c r="E36" s="11" t="s">
        <v>75</v>
      </c>
      <c r="F36" s="6">
        <v>9.5</v>
      </c>
      <c r="G36" s="12" t="str">
        <f>IF(AND(F36&lt;=10, F36&gt;=9), "S", IF(F36&gt;=8, "A", IF(F36&gt;=7, "B", "C")))</f>
        <v>S</v>
      </c>
      <c r="H36" s="13">
        <f ca="1">YEAR(TODAY())-YEAR(D36)</f>
        <v>7</v>
      </c>
      <c r="I36" s="13" t="str">
        <f ca="1">IF(MOD(H36,10)=0,H36&amp;"周岁快乐","")</f>
        <v/>
      </c>
      <c r="J36" s="13" t="str">
        <f ca="1">IF(AND(MONTH(D36)=MONTH(TODAY()),DAY(D36)=DAY(TODAY())),"生日快乐","")</f>
        <v/>
      </c>
    </row>
    <row r="37" spans="1:10" ht="24.6" x14ac:dyDescent="0.4">
      <c r="A37" s="10">
        <v>36</v>
      </c>
      <c r="B37" s="6" t="s">
        <v>222</v>
      </c>
      <c r="C37" s="6" t="s">
        <v>223</v>
      </c>
      <c r="D37" s="7">
        <v>43974</v>
      </c>
      <c r="E37" s="11" t="s">
        <v>13</v>
      </c>
      <c r="F37" s="6">
        <v>9.5</v>
      </c>
      <c r="G37" s="12" t="str">
        <f>IF(AND(F37&lt;=10, F37&gt;=9), "S", IF(F37&gt;=8, "A", IF(F37&gt;=7, "B", "C")))</f>
        <v>S</v>
      </c>
      <c r="H37" s="13">
        <f ca="1">YEAR(TODAY())-YEAR(D37)</f>
        <v>6</v>
      </c>
      <c r="I37" s="13" t="str">
        <f ca="1">IF(MOD(H37,10)=0,H37&amp;"周岁快乐","")</f>
        <v/>
      </c>
      <c r="J37" s="13" t="str">
        <f ca="1">IF(AND(MONTH(D37)=MONTH(TODAY()),DAY(D37)=DAY(TODAY())),"生日快乐","")</f>
        <v/>
      </c>
    </row>
    <row r="38" spans="1:10" ht="24.6" x14ac:dyDescent="0.4">
      <c r="A38" s="10">
        <v>37</v>
      </c>
      <c r="B38" s="6" t="s">
        <v>278</v>
      </c>
      <c r="C38" s="6" t="s">
        <v>279</v>
      </c>
      <c r="D38" s="7">
        <v>44967</v>
      </c>
      <c r="E38" s="11" t="s">
        <v>13</v>
      </c>
      <c r="F38" s="6">
        <v>9.5</v>
      </c>
      <c r="G38" s="12" t="str">
        <f>IF(AND(F38&lt;=10, F38&gt;=9), "S", IF(F38&gt;=8, "A", IF(F38&gt;=7, "B", "C")))</f>
        <v>S</v>
      </c>
      <c r="H38" s="13">
        <f ca="1">YEAR(TODAY())-YEAR(D38)</f>
        <v>3</v>
      </c>
      <c r="I38" s="13" t="str">
        <f ca="1">IF(MOD(H38,10)=0,H38&amp;"周岁快乐","")</f>
        <v/>
      </c>
      <c r="J38" s="13" t="str">
        <f ca="1">IF(AND(MONTH(D38)=MONTH(TODAY()),DAY(D38)=DAY(TODAY())),"生日快乐","")</f>
        <v/>
      </c>
    </row>
    <row r="39" spans="1:10" ht="24.6" x14ac:dyDescent="0.4">
      <c r="A39" s="10">
        <v>38</v>
      </c>
      <c r="B39" s="6" t="s">
        <v>220</v>
      </c>
      <c r="C39" s="6" t="s">
        <v>221</v>
      </c>
      <c r="D39" s="7">
        <v>45750</v>
      </c>
      <c r="E39" s="11" t="s">
        <v>13</v>
      </c>
      <c r="F39" s="6">
        <v>9.4</v>
      </c>
      <c r="G39" s="12" t="str">
        <f>IF(AND(F39&lt;=10, F39&gt;=9), "S", IF(F39&gt;=8, "A", IF(F39&gt;=7, "B", "C")))</f>
        <v>S</v>
      </c>
      <c r="H39" s="13">
        <f ca="1">YEAR(TODAY())-YEAR(D39)</f>
        <v>1</v>
      </c>
      <c r="I39" s="13" t="str">
        <f ca="1">IF(MOD(H39,10)=0,H39&amp;"周岁快乐","")</f>
        <v/>
      </c>
      <c r="J39" s="13" t="str">
        <f ca="1">IF(AND(MONTH(D39)=MONTH(TODAY()),DAY(D39)=DAY(TODAY())),"生日快乐","")</f>
        <v/>
      </c>
    </row>
    <row r="40" spans="1:10" ht="24.6" x14ac:dyDescent="0.4">
      <c r="A40" s="10">
        <v>39</v>
      </c>
      <c r="B40" s="6" t="s">
        <v>276</v>
      </c>
      <c r="C40" s="6" t="s">
        <v>277</v>
      </c>
      <c r="D40" s="7">
        <v>46168</v>
      </c>
      <c r="E40" s="11" t="s">
        <v>13</v>
      </c>
      <c r="F40" s="6">
        <v>9.4</v>
      </c>
      <c r="G40" s="12" t="str">
        <f>IF(AND(F40&lt;=10, F40&gt;=9), "S", IF(F40&gt;=8, "A", IF(F40&gt;=7, "B", "C")))</f>
        <v>S</v>
      </c>
      <c r="H40" s="13">
        <f ca="1">YEAR(TODAY())-YEAR(D40)</f>
        <v>0</v>
      </c>
      <c r="I40" s="13" t="str">
        <f ca="1">IF(MOD(H40,10)=0,H40&amp;"周岁快乐","")</f>
        <v>0周岁快乐</v>
      </c>
      <c r="J40" s="13" t="str">
        <f ca="1">IF(AND(MONTH(D40)=MONTH(TODAY()),DAY(D40)=DAY(TODAY())),"生日快乐","")</f>
        <v/>
      </c>
    </row>
    <row r="41" spans="1:10" ht="24.6" x14ac:dyDescent="0.4">
      <c r="A41" s="10">
        <v>40</v>
      </c>
      <c r="B41" s="6"/>
      <c r="C41" s="6"/>
      <c r="D41" s="7"/>
      <c r="E41" s="11"/>
      <c r="F41" s="6"/>
      <c r="G41" s="12"/>
      <c r="H41" s="13"/>
      <c r="I41" s="13"/>
      <c r="J41" s="13"/>
    </row>
    <row r="42" spans="1:10" ht="24.6" x14ac:dyDescent="0.4">
      <c r="A42" s="10"/>
      <c r="B42" s="6"/>
      <c r="C42" s="6"/>
      <c r="D42" s="7"/>
      <c r="E42" s="11"/>
      <c r="F42" s="6"/>
      <c r="G42" s="12"/>
      <c r="H42" s="13"/>
      <c r="I42" s="13"/>
      <c r="J42" s="13"/>
    </row>
    <row r="43" spans="1:10" ht="24.6" x14ac:dyDescent="0.4">
      <c r="A43" s="10"/>
      <c r="B43" s="6"/>
      <c r="C43" s="6"/>
      <c r="D43" s="7"/>
      <c r="E43" s="11"/>
      <c r="F43" s="6"/>
      <c r="G43" s="12"/>
      <c r="H43" s="13"/>
      <c r="I43" s="13"/>
      <c r="J43" s="13"/>
    </row>
    <row r="44" spans="1:10" ht="24.6" x14ac:dyDescent="0.4">
      <c r="A44" s="10"/>
      <c r="B44" s="6"/>
      <c r="C44" s="6"/>
      <c r="D44" s="7"/>
      <c r="E44" s="11"/>
      <c r="F44" s="6"/>
      <c r="G44" s="12"/>
      <c r="H44" s="13"/>
      <c r="I44" s="13"/>
      <c r="J44" s="13"/>
    </row>
    <row r="45" spans="1:10" ht="24.6" x14ac:dyDescent="0.4">
      <c r="A45" s="10"/>
      <c r="B45" s="6"/>
      <c r="C45" s="6"/>
      <c r="D45" s="7"/>
      <c r="E45" s="11"/>
      <c r="F45" s="6"/>
      <c r="G45" s="12"/>
      <c r="H45" s="13"/>
      <c r="I45" s="13"/>
      <c r="J45" s="13"/>
    </row>
    <row r="46" spans="1:10" ht="24.6" x14ac:dyDescent="0.4">
      <c r="A46" s="10"/>
      <c r="B46" s="6"/>
      <c r="C46" s="6"/>
      <c r="D46" s="7"/>
      <c r="E46" s="11"/>
      <c r="F46" s="6"/>
      <c r="G46" s="12"/>
      <c r="H46" s="13"/>
      <c r="I46" s="13"/>
      <c r="J46" s="13"/>
    </row>
    <row r="47" spans="1:10" ht="24.6" x14ac:dyDescent="0.4">
      <c r="A47" s="10"/>
      <c r="B47" s="6"/>
      <c r="C47" s="6"/>
      <c r="D47" s="7"/>
      <c r="E47" s="11"/>
      <c r="F47" s="6"/>
      <c r="G47" s="12"/>
      <c r="H47" s="13"/>
      <c r="I47" s="13"/>
      <c r="J47" s="13"/>
    </row>
    <row r="48" spans="1:10" ht="24.6" x14ac:dyDescent="0.4">
      <c r="A48" s="10"/>
      <c r="B48" s="6"/>
      <c r="C48" s="6"/>
      <c r="D48" s="7"/>
      <c r="E48" s="11"/>
      <c r="F48" s="6"/>
      <c r="G48" s="12"/>
      <c r="H48" s="13"/>
      <c r="I48" s="13"/>
      <c r="J48" s="13"/>
    </row>
    <row r="49" spans="1:10" ht="24.6" x14ac:dyDescent="0.4">
      <c r="A49" s="10"/>
      <c r="B49" s="6"/>
      <c r="C49" s="6"/>
      <c r="D49" s="7"/>
      <c r="E49" s="11"/>
      <c r="F49" s="6"/>
      <c r="G49" s="12"/>
      <c r="H49" s="13"/>
      <c r="I49" s="13"/>
      <c r="J49" s="13"/>
    </row>
    <row r="50" spans="1:10" ht="24.6" x14ac:dyDescent="0.4">
      <c r="A50" s="10"/>
      <c r="B50" s="6"/>
      <c r="C50" s="6"/>
      <c r="D50" s="7"/>
      <c r="E50" s="11"/>
      <c r="F50" s="6"/>
      <c r="G50" s="12"/>
      <c r="H50" s="13"/>
      <c r="I50" s="13"/>
      <c r="J50" s="13"/>
    </row>
    <row r="51" spans="1:10" ht="24.6" x14ac:dyDescent="0.4">
      <c r="A51" s="10"/>
      <c r="B51" s="6"/>
      <c r="C51" s="6"/>
      <c r="D51" s="7"/>
      <c r="E51" s="11"/>
      <c r="F51" s="6"/>
      <c r="G51" s="12"/>
      <c r="H51" s="13"/>
      <c r="I51" s="13"/>
      <c r="J51" s="13"/>
    </row>
    <row r="52" spans="1:10" ht="24.6" x14ac:dyDescent="0.4">
      <c r="A52" s="10"/>
      <c r="B52" s="6"/>
      <c r="C52" s="6"/>
      <c r="D52" s="7"/>
      <c r="E52" s="11"/>
      <c r="F52" s="6"/>
      <c r="G52" s="12"/>
      <c r="H52" s="13"/>
      <c r="I52" s="13"/>
      <c r="J52" s="13"/>
    </row>
    <row r="53" spans="1:10" ht="24.6" x14ac:dyDescent="0.4">
      <c r="A53" s="10"/>
      <c r="B53" s="6"/>
      <c r="C53" s="6"/>
      <c r="D53" s="7"/>
      <c r="E53" s="11"/>
      <c r="F53" s="6"/>
      <c r="G53" s="12"/>
      <c r="H53" s="13"/>
      <c r="I53" s="13"/>
      <c r="J53" s="13"/>
    </row>
    <row r="54" spans="1:10" ht="24.6" x14ac:dyDescent="0.4">
      <c r="A54" s="10"/>
      <c r="B54" s="6"/>
      <c r="C54" s="6"/>
      <c r="D54" s="7"/>
      <c r="E54" s="11"/>
      <c r="F54" s="6"/>
      <c r="G54" s="12"/>
      <c r="H54" s="13"/>
      <c r="I54" s="13"/>
      <c r="J54" s="13"/>
    </row>
    <row r="55" spans="1:10" ht="24.6" x14ac:dyDescent="0.4">
      <c r="A55" s="10"/>
      <c r="B55" s="6"/>
      <c r="C55" s="6"/>
      <c r="D55" s="7"/>
      <c r="E55" s="11"/>
      <c r="F55" s="6"/>
      <c r="G55" s="12"/>
      <c r="H55" s="13"/>
      <c r="I55" s="13"/>
      <c r="J55" s="13"/>
    </row>
    <row r="56" spans="1:10" ht="24.6" x14ac:dyDescent="0.4">
      <c r="A56" s="10"/>
      <c r="B56" s="6"/>
      <c r="C56" s="6"/>
      <c r="D56" s="7"/>
      <c r="E56" s="11"/>
      <c r="F56" s="6"/>
      <c r="G56" s="12"/>
      <c r="H56" s="13"/>
      <c r="I56" s="13"/>
      <c r="J56" s="13"/>
    </row>
    <row r="57" spans="1:10" ht="24.6" x14ac:dyDescent="0.4">
      <c r="A57" s="10"/>
      <c r="B57" s="6"/>
      <c r="C57" s="6"/>
      <c r="D57" s="7"/>
      <c r="E57" s="11"/>
      <c r="F57" s="6"/>
      <c r="G57" s="12"/>
      <c r="H57" s="13"/>
      <c r="I57" s="13"/>
      <c r="J57" s="13"/>
    </row>
    <row r="58" spans="1:10" ht="24.6" x14ac:dyDescent="0.4">
      <c r="A58" s="10"/>
      <c r="B58" s="6"/>
      <c r="C58" s="6"/>
      <c r="D58" s="7"/>
      <c r="E58" s="11"/>
      <c r="F58" s="6"/>
      <c r="G58" s="12"/>
      <c r="H58" s="13"/>
      <c r="I58" s="13"/>
      <c r="J58" s="13"/>
    </row>
    <row r="59" spans="1:10" ht="24.6" x14ac:dyDescent="0.4">
      <c r="A59" s="10"/>
      <c r="B59" s="6"/>
      <c r="C59" s="6"/>
      <c r="D59" s="7"/>
      <c r="E59" s="11"/>
      <c r="F59" s="6"/>
      <c r="G59" s="12"/>
      <c r="H59" s="13"/>
      <c r="I59" s="13"/>
      <c r="J59" s="13"/>
    </row>
    <row r="60" spans="1:10" ht="24.6" x14ac:dyDescent="0.4">
      <c r="A60" s="10"/>
      <c r="B60" s="6"/>
      <c r="C60" s="6"/>
      <c r="D60" s="7"/>
      <c r="E60" s="11"/>
      <c r="F60" s="6"/>
      <c r="G60" s="12"/>
      <c r="H60" s="13"/>
      <c r="I60" s="13"/>
      <c r="J60" s="13"/>
    </row>
    <row r="61" spans="1:10" ht="24.6" x14ac:dyDescent="0.4">
      <c r="A61" s="10"/>
      <c r="B61" s="6"/>
      <c r="C61" s="6"/>
      <c r="D61" s="7"/>
      <c r="E61" s="11"/>
      <c r="F61" s="6"/>
      <c r="G61" s="12"/>
      <c r="H61" s="13"/>
      <c r="I61" s="13"/>
      <c r="J61" s="13"/>
    </row>
    <row r="62" spans="1:10" ht="24.6" x14ac:dyDescent="0.4">
      <c r="A62" s="10"/>
      <c r="B62" s="6"/>
      <c r="C62" s="6"/>
      <c r="D62" s="7"/>
      <c r="E62" s="11"/>
      <c r="F62" s="6"/>
      <c r="G62" s="12"/>
      <c r="H62" s="13"/>
      <c r="I62" s="13"/>
      <c r="J62" s="13"/>
    </row>
    <row r="63" spans="1:10" ht="24.6" x14ac:dyDescent="0.4">
      <c r="A63" s="10"/>
      <c r="B63" s="6"/>
      <c r="C63" s="6"/>
      <c r="D63" s="7"/>
      <c r="E63" s="11"/>
      <c r="F63" s="6"/>
      <c r="G63" s="12"/>
      <c r="H63" s="13"/>
      <c r="I63" s="13"/>
      <c r="J63" s="13"/>
    </row>
    <row r="64" spans="1:10" ht="24.6" x14ac:dyDescent="0.4">
      <c r="A64" s="10"/>
      <c r="B64" s="6"/>
      <c r="C64" s="6"/>
      <c r="D64" s="7"/>
      <c r="E64" s="11"/>
      <c r="F64" s="6"/>
      <c r="G64" s="12"/>
      <c r="H64" s="13"/>
      <c r="I64" s="13"/>
      <c r="J64" s="13"/>
    </row>
    <row r="65" spans="1:10" ht="24.6" x14ac:dyDescent="0.4">
      <c r="A65" s="10"/>
      <c r="B65" s="6"/>
      <c r="C65" s="6"/>
      <c r="D65" s="7"/>
      <c r="E65" s="11"/>
      <c r="F65" s="6"/>
      <c r="G65" s="12"/>
      <c r="H65" s="13"/>
      <c r="I65" s="13"/>
      <c r="J65" s="13"/>
    </row>
    <row r="66" spans="1:10" ht="24.6" x14ac:dyDescent="0.4">
      <c r="A66" s="10"/>
      <c r="B66" s="6"/>
      <c r="C66" s="6"/>
      <c r="D66" s="7"/>
      <c r="E66" s="11"/>
      <c r="F66" s="6"/>
      <c r="G66" s="12"/>
      <c r="H66" s="13"/>
      <c r="I66" s="13"/>
      <c r="J66" s="13"/>
    </row>
    <row r="67" spans="1:10" ht="24.6" x14ac:dyDescent="0.4">
      <c r="A67" s="10"/>
      <c r="B67" s="6"/>
      <c r="C67" s="6"/>
      <c r="D67" s="7"/>
      <c r="E67" s="11"/>
      <c r="F67" s="6"/>
      <c r="G67" s="12"/>
      <c r="H67" s="13"/>
      <c r="I67" s="13"/>
      <c r="J67" s="13"/>
    </row>
    <row r="68" spans="1:10" ht="24.6" x14ac:dyDescent="0.4">
      <c r="A68" s="10"/>
      <c r="B68" s="6"/>
      <c r="C68" s="6"/>
      <c r="D68" s="7"/>
      <c r="E68" s="11"/>
      <c r="F68" s="6"/>
      <c r="G68" s="12"/>
      <c r="H68" s="13"/>
      <c r="I68" s="13"/>
      <c r="J68" s="13"/>
    </row>
    <row r="69" spans="1:10" ht="24.6" x14ac:dyDescent="0.4">
      <c r="A69" s="10"/>
      <c r="B69" s="6"/>
      <c r="C69" s="6"/>
      <c r="D69" s="7"/>
      <c r="E69" s="11"/>
      <c r="F69" s="6"/>
      <c r="G69" s="12"/>
      <c r="H69" s="13"/>
      <c r="I69" s="13"/>
      <c r="J69" s="13"/>
    </row>
    <row r="70" spans="1:10" ht="24.6" x14ac:dyDescent="0.4">
      <c r="A70" s="10"/>
      <c r="B70" s="6"/>
      <c r="C70" s="6"/>
      <c r="D70" s="7"/>
      <c r="E70" s="11"/>
      <c r="F70" s="6"/>
      <c r="G70" s="12"/>
      <c r="H70" s="13"/>
      <c r="I70" s="13"/>
      <c r="J70" s="13"/>
    </row>
    <row r="71" spans="1:10" ht="24.6" x14ac:dyDescent="0.4">
      <c r="A71" s="10"/>
      <c r="B71" s="6"/>
      <c r="C71" s="6"/>
      <c r="D71" s="7"/>
      <c r="E71" s="11"/>
      <c r="F71" s="6"/>
      <c r="G71" s="12"/>
      <c r="H71" s="13"/>
      <c r="I71" s="13"/>
      <c r="J71" s="13"/>
    </row>
    <row r="72" spans="1:10" ht="24.6" x14ac:dyDescent="0.4">
      <c r="A72" s="10"/>
      <c r="B72" s="6"/>
      <c r="C72" s="6"/>
      <c r="D72" s="7"/>
      <c r="E72" s="11"/>
      <c r="F72" s="6"/>
      <c r="G72" s="12"/>
      <c r="H72" s="13"/>
      <c r="I72" s="13"/>
      <c r="J72" s="13"/>
    </row>
    <row r="73" spans="1:10" ht="24.6" x14ac:dyDescent="0.4">
      <c r="A73" s="10"/>
      <c r="B73" s="6"/>
      <c r="C73" s="6"/>
      <c r="D73" s="7"/>
      <c r="E73" s="11"/>
      <c r="F73" s="6"/>
      <c r="G73" s="12"/>
      <c r="H73" s="13"/>
      <c r="I73" s="13"/>
      <c r="J73" s="13"/>
    </row>
    <row r="74" spans="1:10" ht="24.6" x14ac:dyDescent="0.4">
      <c r="A74" s="10"/>
      <c r="B74" s="6"/>
      <c r="C74" s="6"/>
      <c r="D74" s="7"/>
      <c r="E74" s="11"/>
      <c r="F74" s="6"/>
      <c r="G74" s="12"/>
      <c r="H74" s="13"/>
      <c r="I74" s="13"/>
      <c r="J74" s="13"/>
    </row>
    <row r="75" spans="1:10" ht="24.6" x14ac:dyDescent="0.4">
      <c r="A75" s="10"/>
      <c r="B75" s="6"/>
      <c r="C75" s="6"/>
      <c r="D75" s="7"/>
      <c r="E75" s="11"/>
      <c r="F75" s="6"/>
      <c r="G75" s="12"/>
      <c r="H75" s="13"/>
      <c r="I75" s="13"/>
      <c r="J75" s="13"/>
    </row>
    <row r="76" spans="1:10" ht="24.6" x14ac:dyDescent="0.4">
      <c r="A76" s="10"/>
      <c r="B76" s="6"/>
      <c r="C76" s="6"/>
      <c r="D76" s="7"/>
      <c r="E76" s="11"/>
      <c r="F76" s="6"/>
      <c r="G76" s="12"/>
      <c r="H76" s="13"/>
      <c r="I76" s="13"/>
      <c r="J76" s="13"/>
    </row>
    <row r="77" spans="1:10" ht="24.6" x14ac:dyDescent="0.4">
      <c r="A77" s="10"/>
      <c r="B77" s="6"/>
      <c r="C77" s="6"/>
      <c r="D77" s="7"/>
      <c r="E77" s="11"/>
      <c r="F77" s="6"/>
      <c r="G77" s="12"/>
      <c r="H77" s="13"/>
      <c r="I77" s="13"/>
      <c r="J77" s="13"/>
    </row>
    <row r="78" spans="1:10" ht="24.6" x14ac:dyDescent="0.4">
      <c r="A78" s="10"/>
      <c r="B78" s="6"/>
      <c r="C78" s="6"/>
      <c r="D78" s="7"/>
      <c r="E78" s="11"/>
      <c r="F78" s="6"/>
      <c r="G78" s="12"/>
      <c r="H78" s="13"/>
      <c r="I78" s="13"/>
      <c r="J78" s="13"/>
    </row>
    <row r="79" spans="1:10" ht="24.6" x14ac:dyDescent="0.4">
      <c r="A79" s="10"/>
      <c r="B79" s="6"/>
      <c r="C79" s="6"/>
      <c r="D79" s="7"/>
      <c r="E79" s="11"/>
      <c r="F79" s="6"/>
      <c r="G79" s="12"/>
      <c r="H79" s="13"/>
      <c r="I79" s="13"/>
      <c r="J79" s="13"/>
    </row>
    <row r="80" spans="1:10" ht="24.6" x14ac:dyDescent="0.4">
      <c r="A80" s="10"/>
      <c r="B80" s="6"/>
      <c r="C80" s="6"/>
      <c r="D80" s="7"/>
      <c r="E80" s="11"/>
      <c r="F80" s="6"/>
      <c r="G80" s="12"/>
      <c r="H80" s="13"/>
      <c r="I80" s="13"/>
      <c r="J80" s="13"/>
    </row>
    <row r="81" spans="1:10" ht="24.6" x14ac:dyDescent="0.4">
      <c r="A81" s="10"/>
      <c r="B81" s="6"/>
      <c r="C81" s="6"/>
      <c r="D81" s="7"/>
      <c r="E81" s="11"/>
      <c r="F81" s="6"/>
      <c r="G81" s="12"/>
      <c r="H81" s="13"/>
      <c r="I81" s="13"/>
      <c r="J81" s="13"/>
    </row>
    <row r="82" spans="1:10" ht="24.6" x14ac:dyDescent="0.4">
      <c r="A82" s="10"/>
      <c r="B82" s="6"/>
      <c r="C82" s="6"/>
      <c r="D82" s="7"/>
      <c r="E82" s="11"/>
      <c r="F82" s="6"/>
      <c r="G82" s="12"/>
      <c r="H82" s="13"/>
      <c r="I82" s="13"/>
      <c r="J82" s="13"/>
    </row>
    <row r="83" spans="1:10" ht="24.6" x14ac:dyDescent="0.4">
      <c r="A83" s="10"/>
      <c r="B83" s="6"/>
      <c r="C83" s="6"/>
      <c r="D83" s="7"/>
      <c r="E83" s="11"/>
      <c r="F83" s="6"/>
      <c r="G83" s="12"/>
      <c r="H83" s="13"/>
      <c r="I83" s="13"/>
      <c r="J83" s="13"/>
    </row>
    <row r="84" spans="1:10" ht="24.6" x14ac:dyDescent="0.4">
      <c r="A84" s="10"/>
      <c r="B84" s="6"/>
      <c r="C84" s="6"/>
      <c r="D84" s="7"/>
      <c r="E84" s="11"/>
      <c r="F84" s="6"/>
      <c r="G84" s="12"/>
      <c r="H84" s="13"/>
      <c r="I84" s="13"/>
      <c r="J84" s="13"/>
    </row>
    <row r="85" spans="1:10" ht="24.6" x14ac:dyDescent="0.4">
      <c r="A85" s="10"/>
      <c r="B85" s="6"/>
      <c r="C85" s="6"/>
      <c r="D85" s="7"/>
      <c r="E85" s="11"/>
      <c r="F85" s="6"/>
      <c r="G85" s="12"/>
      <c r="H85" s="13"/>
      <c r="I85" s="13"/>
      <c r="J85" s="13"/>
    </row>
    <row r="86" spans="1:10" ht="24.6" x14ac:dyDescent="0.4">
      <c r="A86" s="10"/>
      <c r="B86" s="6"/>
      <c r="C86" s="6"/>
      <c r="D86" s="7"/>
      <c r="E86" s="11"/>
      <c r="F86" s="6"/>
      <c r="G86" s="12"/>
      <c r="H86" s="13"/>
      <c r="I86" s="13"/>
      <c r="J86" s="13"/>
    </row>
    <row r="87" spans="1:10" ht="24.6" x14ac:dyDescent="0.4">
      <c r="A87" s="10"/>
      <c r="B87" s="6"/>
      <c r="C87" s="14"/>
      <c r="D87" s="7"/>
      <c r="E87" s="11"/>
      <c r="F87" s="6"/>
      <c r="G87" s="12"/>
      <c r="H87" s="13"/>
      <c r="I87" s="13"/>
      <c r="J87" s="13"/>
    </row>
    <row r="88" spans="1:10" ht="24.6" x14ac:dyDescent="0.4">
      <c r="A88" s="10"/>
      <c r="B88" s="6"/>
      <c r="C88" s="6"/>
      <c r="D88" s="7"/>
      <c r="E88" s="11"/>
      <c r="F88" s="6"/>
      <c r="G88" s="12"/>
      <c r="H88" s="13"/>
      <c r="I88" s="13"/>
      <c r="J88" s="13"/>
    </row>
    <row r="89" spans="1:10" ht="24.6" x14ac:dyDescent="0.4">
      <c r="A89" s="10"/>
      <c r="B89" s="6"/>
      <c r="C89" s="6"/>
      <c r="D89" s="7"/>
      <c r="E89" s="11"/>
      <c r="F89" s="6"/>
      <c r="G89" s="12"/>
      <c r="H89" s="13"/>
      <c r="I89" s="13"/>
      <c r="J89" s="13"/>
    </row>
    <row r="90" spans="1:10" ht="24.6" x14ac:dyDescent="0.4">
      <c r="A90" s="10"/>
      <c r="B90" s="6"/>
      <c r="C90" s="6"/>
      <c r="D90" s="7"/>
      <c r="E90" s="11"/>
      <c r="F90" s="6"/>
      <c r="G90" s="12"/>
      <c r="H90" s="13"/>
      <c r="I90" s="13"/>
      <c r="J90" s="13"/>
    </row>
    <row r="91" spans="1:10" ht="24.6" x14ac:dyDescent="0.4">
      <c r="A91" s="10"/>
      <c r="B91" s="6"/>
      <c r="C91" s="6"/>
      <c r="D91" s="7"/>
      <c r="E91" s="11"/>
      <c r="F91" s="6"/>
      <c r="G91" s="12"/>
      <c r="H91" s="13"/>
      <c r="I91" s="13"/>
      <c r="J91" s="13"/>
    </row>
    <row r="92" spans="1:10" ht="24.6" x14ac:dyDescent="0.4">
      <c r="A92" s="10"/>
      <c r="B92" s="6"/>
      <c r="C92" s="6"/>
      <c r="D92" s="7"/>
      <c r="E92" s="11"/>
      <c r="F92" s="6"/>
      <c r="G92" s="12"/>
      <c r="H92" s="13"/>
      <c r="I92" s="13"/>
      <c r="J92" s="13"/>
    </row>
    <row r="93" spans="1:10" ht="24.6" x14ac:dyDescent="0.4">
      <c r="A93" s="10"/>
      <c r="B93" s="6"/>
      <c r="C93" s="6"/>
      <c r="D93" s="7"/>
      <c r="E93" s="11"/>
      <c r="F93" s="6"/>
      <c r="G93" s="12"/>
      <c r="H93" s="13"/>
      <c r="I93" s="13"/>
      <c r="J93" s="13"/>
    </row>
    <row r="94" spans="1:10" ht="24.6" x14ac:dyDescent="0.4">
      <c r="A94" s="10"/>
      <c r="B94" s="6"/>
      <c r="C94" s="6"/>
      <c r="D94" s="7"/>
      <c r="E94" s="11"/>
      <c r="F94" s="6"/>
      <c r="G94" s="12"/>
      <c r="H94" s="13"/>
      <c r="I94" s="13"/>
      <c r="J94" s="13"/>
    </row>
    <row r="95" spans="1:10" ht="24.6" x14ac:dyDescent="0.4">
      <c r="A95" s="10"/>
      <c r="B95" s="6"/>
      <c r="C95" s="6"/>
      <c r="D95" s="7"/>
      <c r="E95" s="11"/>
      <c r="F95" s="6"/>
      <c r="G95" s="12"/>
      <c r="H95" s="13"/>
      <c r="I95" s="13"/>
      <c r="J95" s="13"/>
    </row>
    <row r="96" spans="1:10" ht="24.6" x14ac:dyDescent="0.4">
      <c r="A96" s="10"/>
      <c r="B96" s="6"/>
      <c r="C96" s="6"/>
      <c r="D96" s="7"/>
      <c r="E96" s="11"/>
      <c r="F96" s="6"/>
      <c r="G96" s="12"/>
      <c r="H96" s="13"/>
      <c r="I96" s="13"/>
      <c r="J96" s="13"/>
    </row>
    <row r="97" spans="1:10" ht="24.6" x14ac:dyDescent="0.4">
      <c r="A97" s="10"/>
      <c r="B97" s="6"/>
      <c r="C97" s="6"/>
      <c r="D97" s="7"/>
      <c r="E97" s="11"/>
      <c r="F97" s="6"/>
      <c r="G97" s="12"/>
      <c r="H97" s="13"/>
      <c r="I97" s="13"/>
      <c r="J97" s="13"/>
    </row>
    <row r="98" spans="1:10" ht="24.6" x14ac:dyDescent="0.4">
      <c r="A98" s="10"/>
      <c r="B98" s="6"/>
      <c r="C98" s="6"/>
      <c r="D98" s="7"/>
      <c r="E98" s="11"/>
      <c r="F98" s="6"/>
      <c r="G98" s="12"/>
      <c r="H98" s="13"/>
      <c r="I98" s="13"/>
      <c r="J98" s="13"/>
    </row>
    <row r="99" spans="1:10" ht="24.6" x14ac:dyDescent="0.4">
      <c r="A99" s="10"/>
      <c r="B99" s="6"/>
      <c r="C99" s="6"/>
      <c r="D99" s="7"/>
      <c r="E99" s="11"/>
      <c r="F99" s="6"/>
      <c r="G99" s="12"/>
      <c r="H99" s="13"/>
      <c r="I99" s="13"/>
      <c r="J99" s="13"/>
    </row>
    <row r="100" spans="1:10" ht="24.6" x14ac:dyDescent="0.4">
      <c r="A100" s="10"/>
      <c r="B100" s="6"/>
      <c r="C100" s="6"/>
      <c r="D100" s="7"/>
      <c r="E100" s="11"/>
      <c r="F100" s="6"/>
      <c r="G100" s="12"/>
      <c r="H100" s="13"/>
      <c r="I100" s="13"/>
      <c r="J100" s="13"/>
    </row>
    <row r="101" spans="1:10" ht="24.6" x14ac:dyDescent="0.4">
      <c r="A101" s="10"/>
      <c r="B101" s="6"/>
      <c r="C101" s="6"/>
      <c r="D101" s="7"/>
      <c r="E101" s="11"/>
      <c r="F101" s="6"/>
      <c r="G101" s="12"/>
      <c r="H101" s="13"/>
      <c r="I101" s="13"/>
      <c r="J101" s="13"/>
    </row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</sheetData>
  <autoFilter ref="A1:J40" xr:uid="{00000000-0001-0000-0000-000000000000}"/>
  <sortState xmlns:xlrd2="http://schemas.microsoft.com/office/spreadsheetml/2017/richdata2" ref="A2:G296">
    <sortCondition descending="1" ref="F161:F296"/>
  </sortState>
  <phoneticPr fontId="1" type="noConversion"/>
  <conditionalFormatting sqref="G2:G101">
    <cfRule type="cellIs" dxfId="17" priority="3" operator="equal">
      <formula>"C"</formula>
    </cfRule>
    <cfRule type="cellIs" dxfId="16" priority="4" operator="equal">
      <formula>"B"</formula>
    </cfRule>
    <cfRule type="cellIs" dxfId="15" priority="5" operator="equal">
      <formula>"A"</formula>
    </cfRule>
    <cfRule type="cellIs" dxfId="14" priority="6" operator="equal">
      <formula>"S"</formula>
    </cfRule>
  </conditionalFormatting>
  <conditionalFormatting sqref="I2:I101">
    <cfRule type="notContainsBlanks" dxfId="13" priority="1">
      <formula>LEN(TRIM(I2))&gt;0</formula>
    </cfRule>
  </conditionalFormatting>
  <conditionalFormatting sqref="J2:J101">
    <cfRule type="containsText" dxfId="12" priority="2" operator="containsText" text="生日快乐">
      <formula>NOT(ISERROR(SEARCH("生日快乐",J2)))</formula>
    </cfRule>
  </conditionalFormatting>
  <dataValidations count="2">
    <dataValidation type="list" allowBlank="1" showInputMessage="1" showErrorMessage="1" sqref="G2:G101" xr:uid="{568040E6-2B09-4003-AB49-707AD027403E}">
      <formula1>"S,A,B,C"</formula1>
    </dataValidation>
    <dataValidation type="decimal" allowBlank="1" showInputMessage="1" showErrorMessage="1" sqref="F2:F101" xr:uid="{9E81D9D0-1D4E-4A34-A297-97BFF1D82B45}">
      <formula1>6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7287-028B-4515-8DA7-8230EF1B7018}">
  <dimension ref="A1:J251"/>
  <sheetViews>
    <sheetView zoomScale="70" zoomScaleNormal="70" workbookViewId="0">
      <pane ySplit="1" topLeftCell="A38" activePane="bottomLeft" state="frozen"/>
      <selection pane="bottomLeft" activeCell="C60" sqref="C60"/>
    </sheetView>
  </sheetViews>
  <sheetFormatPr defaultColWidth="0" defaultRowHeight="13.8" zeroHeight="1" x14ac:dyDescent="0.25"/>
  <cols>
    <col min="1" max="1" width="14.109375" bestFit="1" customWidth="1"/>
    <col min="2" max="2" width="44.33203125" bestFit="1" customWidth="1"/>
    <col min="3" max="3" width="110.6640625" customWidth="1"/>
    <col min="4" max="4" width="23.5546875" bestFit="1" customWidth="1"/>
    <col min="5" max="5" width="35.88671875" bestFit="1" customWidth="1"/>
    <col min="6" max="6" width="21.44140625" bestFit="1" customWidth="1"/>
    <col min="7" max="8" width="14.109375" bestFit="1" customWidth="1"/>
    <col min="9" max="9" width="14.21875" bestFit="1" customWidth="1"/>
    <col min="10" max="10" width="14.109375" bestFit="1" customWidth="1"/>
    <col min="11" max="16384" width="8.88671875" hidden="1"/>
  </cols>
  <sheetData>
    <row r="1" spans="1:10" ht="25.8" x14ac:dyDescent="0.25">
      <c r="A1" s="8" t="s">
        <v>2</v>
      </c>
      <c r="B1" s="8" t="s">
        <v>19</v>
      </c>
      <c r="C1" s="8" t="s">
        <v>0</v>
      </c>
      <c r="D1" s="9" t="s">
        <v>3</v>
      </c>
      <c r="E1" s="8" t="s">
        <v>15</v>
      </c>
      <c r="F1" s="8" t="s">
        <v>14</v>
      </c>
      <c r="G1" s="8" t="s">
        <v>1</v>
      </c>
      <c r="H1" s="8" t="s">
        <v>16</v>
      </c>
      <c r="I1" s="8" t="s">
        <v>18</v>
      </c>
      <c r="J1" s="8" t="s">
        <v>17</v>
      </c>
    </row>
    <row r="2" spans="1:10" ht="24.6" x14ac:dyDescent="0.4">
      <c r="A2" s="10">
        <v>1</v>
      </c>
      <c r="B2" s="6" t="s">
        <v>77</v>
      </c>
      <c r="C2" s="6" t="s">
        <v>78</v>
      </c>
      <c r="D2" s="7">
        <v>40824</v>
      </c>
      <c r="E2" s="11" t="s">
        <v>13</v>
      </c>
      <c r="F2" s="6">
        <v>9.9</v>
      </c>
      <c r="G2" s="12" t="str">
        <f t="shared" ref="G2:G33" si="0">IF(AND(F2&lt;=10, F2&gt;=9), "S", IF(F2&gt;=8, "A", IF(F2&gt;=7, "B", "C")))</f>
        <v>S</v>
      </c>
      <c r="H2" s="13">
        <f t="shared" ref="H2:H33" ca="1" si="1">YEAR(TODAY())-YEAR(D2)</f>
        <v>15</v>
      </c>
      <c r="I2" s="13" t="str">
        <f t="shared" ref="I2:I33" ca="1" si="2">IF(MOD(H2,10)=0,H2&amp;"周岁快乐","")</f>
        <v/>
      </c>
      <c r="J2" s="13" t="str">
        <f t="shared" ref="J2:J33" ca="1" si="3">IF(AND(MONTH(D2)=MONTH(TODAY()),DAY(D2)=DAY(TODAY())),"生日快乐","")</f>
        <v/>
      </c>
    </row>
    <row r="3" spans="1:10" ht="24.6" x14ac:dyDescent="0.4">
      <c r="A3" s="10">
        <v>2</v>
      </c>
      <c r="B3" s="6" t="s">
        <v>131</v>
      </c>
      <c r="C3" s="6" t="s">
        <v>132</v>
      </c>
      <c r="D3" s="7">
        <v>35845</v>
      </c>
      <c r="E3" s="11" t="s">
        <v>13</v>
      </c>
      <c r="F3" s="6">
        <v>9.9</v>
      </c>
      <c r="G3" s="12" t="str">
        <f t="shared" si="0"/>
        <v>S</v>
      </c>
      <c r="H3" s="13">
        <f t="shared" ca="1" si="1"/>
        <v>28</v>
      </c>
      <c r="I3" s="13" t="str">
        <f t="shared" ca="1" si="2"/>
        <v/>
      </c>
      <c r="J3" s="13" t="str">
        <f t="shared" ca="1" si="3"/>
        <v/>
      </c>
    </row>
    <row r="4" spans="1:10" ht="24.6" x14ac:dyDescent="0.4">
      <c r="A4" s="10">
        <v>3</v>
      </c>
      <c r="B4" s="6" t="s">
        <v>116</v>
      </c>
      <c r="C4" s="6" t="s">
        <v>117</v>
      </c>
      <c r="D4" s="7">
        <v>42922</v>
      </c>
      <c r="E4" s="11" t="s">
        <v>13</v>
      </c>
      <c r="F4" s="6">
        <v>9.9</v>
      </c>
      <c r="G4" s="12" t="str">
        <f t="shared" si="0"/>
        <v>S</v>
      </c>
      <c r="H4" s="13">
        <f t="shared" ca="1" si="1"/>
        <v>9</v>
      </c>
      <c r="I4" s="13" t="str">
        <f t="shared" ca="1" si="2"/>
        <v/>
      </c>
      <c r="J4" s="13" t="str">
        <f t="shared" ca="1" si="3"/>
        <v/>
      </c>
    </row>
    <row r="5" spans="1:10" ht="24.6" x14ac:dyDescent="0.4">
      <c r="A5" s="10">
        <v>4</v>
      </c>
      <c r="B5" s="6" t="s">
        <v>114</v>
      </c>
      <c r="C5" s="6" t="s">
        <v>106</v>
      </c>
      <c r="D5" s="7">
        <v>40808</v>
      </c>
      <c r="E5" s="11" t="s">
        <v>13</v>
      </c>
      <c r="F5" s="6">
        <v>9.9</v>
      </c>
      <c r="G5" s="12" t="str">
        <f t="shared" si="0"/>
        <v>S</v>
      </c>
      <c r="H5" s="13">
        <f t="shared" ca="1" si="1"/>
        <v>15</v>
      </c>
      <c r="I5" s="13" t="str">
        <f t="shared" ca="1" si="2"/>
        <v/>
      </c>
      <c r="J5" s="13" t="str">
        <f t="shared" ca="1" si="3"/>
        <v/>
      </c>
    </row>
    <row r="6" spans="1:10" ht="24.6" x14ac:dyDescent="0.4">
      <c r="A6" s="10">
        <v>5</v>
      </c>
      <c r="B6" s="6" t="s">
        <v>146</v>
      </c>
      <c r="C6" s="6" t="s">
        <v>147</v>
      </c>
      <c r="D6" s="7">
        <v>40158</v>
      </c>
      <c r="E6" s="11" t="s">
        <v>13</v>
      </c>
      <c r="F6" s="6">
        <v>9.9</v>
      </c>
      <c r="G6" s="12" t="str">
        <f t="shared" si="0"/>
        <v>S</v>
      </c>
      <c r="H6" s="13">
        <f t="shared" ca="1" si="1"/>
        <v>17</v>
      </c>
      <c r="I6" s="13" t="str">
        <f t="shared" ca="1" si="2"/>
        <v/>
      </c>
      <c r="J6" s="13" t="str">
        <f t="shared" ca="1" si="3"/>
        <v/>
      </c>
    </row>
    <row r="7" spans="1:10" ht="24.6" x14ac:dyDescent="0.4">
      <c r="A7" s="10">
        <v>6</v>
      </c>
      <c r="B7" s="6" t="s">
        <v>141</v>
      </c>
      <c r="C7" s="6" t="s">
        <v>142</v>
      </c>
      <c r="D7" s="7">
        <v>40455</v>
      </c>
      <c r="E7" s="11" t="s">
        <v>13</v>
      </c>
      <c r="F7" s="6">
        <v>9.9</v>
      </c>
      <c r="G7" s="12" t="str">
        <f t="shared" si="0"/>
        <v>S</v>
      </c>
      <c r="H7" s="13">
        <f t="shared" ca="1" si="1"/>
        <v>16</v>
      </c>
      <c r="I7" s="13" t="str">
        <f t="shared" ca="1" si="2"/>
        <v/>
      </c>
      <c r="J7" s="13" t="str">
        <f t="shared" ca="1" si="3"/>
        <v/>
      </c>
    </row>
    <row r="8" spans="1:10" ht="24.6" x14ac:dyDescent="0.4">
      <c r="A8" s="10">
        <v>7</v>
      </c>
      <c r="B8" s="6" t="s">
        <v>115</v>
      </c>
      <c r="C8" s="6" t="s">
        <v>106</v>
      </c>
      <c r="D8" s="7">
        <v>41260</v>
      </c>
      <c r="E8" s="11" t="s">
        <v>13</v>
      </c>
      <c r="F8" s="6">
        <v>9.9</v>
      </c>
      <c r="G8" s="12" t="str">
        <f t="shared" si="0"/>
        <v>S</v>
      </c>
      <c r="H8" s="13">
        <f t="shared" ca="1" si="1"/>
        <v>14</v>
      </c>
      <c r="I8" s="13" t="str">
        <f t="shared" ca="1" si="2"/>
        <v/>
      </c>
      <c r="J8" s="13" t="str">
        <f t="shared" ca="1" si="3"/>
        <v/>
      </c>
    </row>
    <row r="9" spans="1:10" ht="24.6" x14ac:dyDescent="0.4">
      <c r="A9" s="10">
        <v>8</v>
      </c>
      <c r="B9" s="6" t="s">
        <v>89</v>
      </c>
      <c r="C9" s="6" t="s">
        <v>90</v>
      </c>
      <c r="D9" s="7">
        <v>43372</v>
      </c>
      <c r="E9" s="11" t="s">
        <v>13</v>
      </c>
      <c r="F9" s="6">
        <v>9.9</v>
      </c>
      <c r="G9" s="12" t="str">
        <f t="shared" si="0"/>
        <v>S</v>
      </c>
      <c r="H9" s="13">
        <f t="shared" ca="1" si="1"/>
        <v>8</v>
      </c>
      <c r="I9" s="13" t="str">
        <f t="shared" ca="1" si="2"/>
        <v/>
      </c>
      <c r="J9" s="13" t="str">
        <f t="shared" ca="1" si="3"/>
        <v/>
      </c>
    </row>
    <row r="10" spans="1:10" ht="24.6" x14ac:dyDescent="0.4">
      <c r="A10" s="10">
        <v>9</v>
      </c>
      <c r="B10" s="6" t="s">
        <v>143</v>
      </c>
      <c r="C10" s="6" t="s">
        <v>144</v>
      </c>
      <c r="D10" s="7">
        <v>41206</v>
      </c>
      <c r="E10" s="11" t="s">
        <v>13</v>
      </c>
      <c r="F10" s="6">
        <v>9.9</v>
      </c>
      <c r="G10" s="12" t="str">
        <f t="shared" si="0"/>
        <v>S</v>
      </c>
      <c r="H10" s="13">
        <f t="shared" ca="1" si="1"/>
        <v>14</v>
      </c>
      <c r="I10" s="13" t="str">
        <f t="shared" ca="1" si="2"/>
        <v/>
      </c>
      <c r="J10" s="13" t="str">
        <f t="shared" ca="1" si="3"/>
        <v/>
      </c>
    </row>
    <row r="11" spans="1:10" ht="24.6" x14ac:dyDescent="0.4">
      <c r="A11" s="10">
        <v>10</v>
      </c>
      <c r="B11" s="6" t="s">
        <v>107</v>
      </c>
      <c r="C11" s="6" t="s">
        <v>108</v>
      </c>
      <c r="D11" s="7">
        <v>40909</v>
      </c>
      <c r="E11" s="11" t="s">
        <v>13</v>
      </c>
      <c r="F11" s="6">
        <v>9.9</v>
      </c>
      <c r="G11" s="12" t="str">
        <f t="shared" si="0"/>
        <v>S</v>
      </c>
      <c r="H11" s="13">
        <f t="shared" ca="1" si="1"/>
        <v>14</v>
      </c>
      <c r="I11" s="13" t="str">
        <f t="shared" ca="1" si="2"/>
        <v/>
      </c>
      <c r="J11" s="13" t="str">
        <f t="shared" ca="1" si="3"/>
        <v/>
      </c>
    </row>
    <row r="12" spans="1:10" ht="24.6" x14ac:dyDescent="0.4">
      <c r="A12" s="10">
        <v>11</v>
      </c>
      <c r="B12" s="6" t="s">
        <v>145</v>
      </c>
      <c r="C12" s="6" t="s">
        <v>130</v>
      </c>
      <c r="D12" s="7">
        <v>41711</v>
      </c>
      <c r="E12" s="11" t="s">
        <v>13</v>
      </c>
      <c r="F12" s="6">
        <v>9.9</v>
      </c>
      <c r="G12" s="12" t="str">
        <f t="shared" si="0"/>
        <v>S</v>
      </c>
      <c r="H12" s="13">
        <f t="shared" ca="1" si="1"/>
        <v>12</v>
      </c>
      <c r="I12" s="13" t="str">
        <f t="shared" ca="1" si="2"/>
        <v/>
      </c>
      <c r="J12" s="13" t="str">
        <f t="shared" ca="1" si="3"/>
        <v/>
      </c>
    </row>
    <row r="13" spans="1:10" ht="24.6" x14ac:dyDescent="0.4">
      <c r="A13" s="10">
        <v>12</v>
      </c>
      <c r="B13" s="6" t="s">
        <v>121</v>
      </c>
      <c r="C13" s="6" t="s">
        <v>122</v>
      </c>
      <c r="D13" s="7">
        <v>41060</v>
      </c>
      <c r="E13" s="15" t="s">
        <v>13</v>
      </c>
      <c r="F13" s="6">
        <v>9.9</v>
      </c>
      <c r="G13" s="12" t="str">
        <f t="shared" si="0"/>
        <v>S</v>
      </c>
      <c r="H13" s="13">
        <f t="shared" ca="1" si="1"/>
        <v>14</v>
      </c>
      <c r="I13" s="13" t="str">
        <f t="shared" ca="1" si="2"/>
        <v/>
      </c>
      <c r="J13" s="13" t="str">
        <f t="shared" ca="1" si="3"/>
        <v/>
      </c>
    </row>
    <row r="14" spans="1:10" ht="24.6" x14ac:dyDescent="0.4">
      <c r="A14" s="10">
        <v>13</v>
      </c>
      <c r="B14" s="6" t="s">
        <v>99</v>
      </c>
      <c r="C14" s="6" t="s">
        <v>100</v>
      </c>
      <c r="D14" s="7">
        <v>41640</v>
      </c>
      <c r="E14" s="11" t="s">
        <v>13</v>
      </c>
      <c r="F14" s="6">
        <v>9.9</v>
      </c>
      <c r="G14" s="12" t="str">
        <f t="shared" si="0"/>
        <v>S</v>
      </c>
      <c r="H14" s="13">
        <f t="shared" ca="1" si="1"/>
        <v>12</v>
      </c>
      <c r="I14" s="13" t="str">
        <f t="shared" ca="1" si="2"/>
        <v/>
      </c>
      <c r="J14" s="13" t="str">
        <f t="shared" ca="1" si="3"/>
        <v/>
      </c>
    </row>
    <row r="15" spans="1:10" ht="24.6" x14ac:dyDescent="0.4">
      <c r="A15" s="10">
        <v>14</v>
      </c>
      <c r="B15" s="6" t="s">
        <v>155</v>
      </c>
      <c r="C15" s="6" t="s">
        <v>156</v>
      </c>
      <c r="D15" s="7">
        <v>41116</v>
      </c>
      <c r="E15" s="11" t="s">
        <v>13</v>
      </c>
      <c r="F15" s="6">
        <v>9.9</v>
      </c>
      <c r="G15" s="12" t="str">
        <f t="shared" si="0"/>
        <v>S</v>
      </c>
      <c r="H15" s="13">
        <f t="shared" ca="1" si="1"/>
        <v>14</v>
      </c>
      <c r="I15" s="13" t="str">
        <f t="shared" ca="1" si="2"/>
        <v/>
      </c>
      <c r="J15" s="13" t="str">
        <f t="shared" ca="1" si="3"/>
        <v/>
      </c>
    </row>
    <row r="16" spans="1:10" ht="24.6" x14ac:dyDescent="0.4">
      <c r="A16" s="10">
        <v>15</v>
      </c>
      <c r="B16" s="6" t="s">
        <v>79</v>
      </c>
      <c r="C16" s="6" t="s">
        <v>80</v>
      </c>
      <c r="D16" s="7">
        <v>41836</v>
      </c>
      <c r="E16" s="11" t="s">
        <v>13</v>
      </c>
      <c r="F16" s="6">
        <v>9.9</v>
      </c>
      <c r="G16" s="12" t="str">
        <f t="shared" si="0"/>
        <v>S</v>
      </c>
      <c r="H16" s="13">
        <f t="shared" ca="1" si="1"/>
        <v>12</v>
      </c>
      <c r="I16" s="13" t="str">
        <f t="shared" ca="1" si="2"/>
        <v/>
      </c>
      <c r="J16" s="13" t="str">
        <f t="shared" ca="1" si="3"/>
        <v/>
      </c>
    </row>
    <row r="17" spans="1:10" ht="24.6" x14ac:dyDescent="0.4">
      <c r="A17" s="10">
        <v>16</v>
      </c>
      <c r="B17" s="6" t="s">
        <v>161</v>
      </c>
      <c r="C17" s="6" t="s">
        <v>162</v>
      </c>
      <c r="D17" s="7">
        <v>43352</v>
      </c>
      <c r="E17" s="11" t="s">
        <v>13</v>
      </c>
      <c r="F17" s="6">
        <v>9.9</v>
      </c>
      <c r="G17" s="12" t="str">
        <f t="shared" si="0"/>
        <v>S</v>
      </c>
      <c r="H17" s="13">
        <f t="shared" ca="1" si="1"/>
        <v>8</v>
      </c>
      <c r="I17" s="13" t="str">
        <f t="shared" ca="1" si="2"/>
        <v/>
      </c>
      <c r="J17" s="13" t="str">
        <f t="shared" ca="1" si="3"/>
        <v/>
      </c>
    </row>
    <row r="18" spans="1:10" ht="24.6" x14ac:dyDescent="0.4">
      <c r="A18" s="10">
        <v>17</v>
      </c>
      <c r="B18" s="6" t="s">
        <v>148</v>
      </c>
      <c r="C18" s="6" t="s">
        <v>106</v>
      </c>
      <c r="D18" s="7">
        <v>40288</v>
      </c>
      <c r="E18" s="11" t="s">
        <v>13</v>
      </c>
      <c r="F18" s="6">
        <v>9.9</v>
      </c>
      <c r="G18" s="12" t="str">
        <f t="shared" si="0"/>
        <v>S</v>
      </c>
      <c r="H18" s="13">
        <f t="shared" ca="1" si="1"/>
        <v>16</v>
      </c>
      <c r="I18" s="13" t="str">
        <f t="shared" ca="1" si="2"/>
        <v/>
      </c>
      <c r="J18" s="13" t="str">
        <f t="shared" ca="1" si="3"/>
        <v/>
      </c>
    </row>
    <row r="19" spans="1:10" ht="24.6" x14ac:dyDescent="0.4">
      <c r="A19" s="10">
        <v>18</v>
      </c>
      <c r="B19" s="6" t="s">
        <v>153</v>
      </c>
      <c r="C19" s="6" t="s">
        <v>154</v>
      </c>
      <c r="D19" s="7">
        <v>41298</v>
      </c>
      <c r="E19" s="11" t="s">
        <v>13</v>
      </c>
      <c r="F19" s="6">
        <v>9.9</v>
      </c>
      <c r="G19" s="12" t="str">
        <f t="shared" si="0"/>
        <v>S</v>
      </c>
      <c r="H19" s="13">
        <f t="shared" ca="1" si="1"/>
        <v>13</v>
      </c>
      <c r="I19" s="13" t="str">
        <f t="shared" ca="1" si="2"/>
        <v/>
      </c>
      <c r="J19" s="13" t="str">
        <f t="shared" ca="1" si="3"/>
        <v/>
      </c>
    </row>
    <row r="20" spans="1:10" ht="24.6" x14ac:dyDescent="0.4">
      <c r="A20" s="10">
        <v>19</v>
      </c>
      <c r="B20" s="6" t="s">
        <v>119</v>
      </c>
      <c r="C20" s="6" t="s">
        <v>120</v>
      </c>
      <c r="D20" s="7">
        <v>41255</v>
      </c>
      <c r="E20" s="11" t="s">
        <v>13</v>
      </c>
      <c r="F20" s="6">
        <v>9.9</v>
      </c>
      <c r="G20" s="12" t="str">
        <f t="shared" si="0"/>
        <v>S</v>
      </c>
      <c r="H20" s="13">
        <f t="shared" ca="1" si="1"/>
        <v>14</v>
      </c>
      <c r="I20" s="13" t="str">
        <f t="shared" ca="1" si="2"/>
        <v/>
      </c>
      <c r="J20" s="13" t="str">
        <f t="shared" ca="1" si="3"/>
        <v/>
      </c>
    </row>
    <row r="21" spans="1:10" ht="24.6" x14ac:dyDescent="0.4">
      <c r="A21" s="10">
        <v>20</v>
      </c>
      <c r="B21" s="6" t="s">
        <v>101</v>
      </c>
      <c r="C21" s="6" t="s">
        <v>102</v>
      </c>
      <c r="D21" s="7">
        <v>41481</v>
      </c>
      <c r="E21" s="11" t="s">
        <v>13</v>
      </c>
      <c r="F21" s="6">
        <v>9.9</v>
      </c>
      <c r="G21" s="12" t="str">
        <f t="shared" si="0"/>
        <v>S</v>
      </c>
      <c r="H21" s="13">
        <f t="shared" ca="1" si="1"/>
        <v>13</v>
      </c>
      <c r="I21" s="13" t="str">
        <f t="shared" ca="1" si="2"/>
        <v/>
      </c>
      <c r="J21" s="13" t="str">
        <f t="shared" ca="1" si="3"/>
        <v/>
      </c>
    </row>
    <row r="22" spans="1:10" ht="24.6" x14ac:dyDescent="0.4">
      <c r="A22" s="10">
        <v>21</v>
      </c>
      <c r="B22" s="6" t="s">
        <v>118</v>
      </c>
      <c r="C22" s="6" t="s">
        <v>106</v>
      </c>
      <c r="D22" s="7">
        <v>41174</v>
      </c>
      <c r="E22" s="15" t="s">
        <v>13</v>
      </c>
      <c r="F22" s="6">
        <v>9.8000000000000007</v>
      </c>
      <c r="G22" s="12" t="str">
        <f t="shared" si="0"/>
        <v>S</v>
      </c>
      <c r="H22" s="13">
        <f t="shared" ca="1" si="1"/>
        <v>14</v>
      </c>
      <c r="I22" s="13" t="str">
        <f t="shared" ca="1" si="2"/>
        <v/>
      </c>
      <c r="J22" s="13" t="str">
        <f t="shared" ca="1" si="3"/>
        <v/>
      </c>
    </row>
    <row r="23" spans="1:10" ht="24.6" x14ac:dyDescent="0.4">
      <c r="A23" s="10">
        <v>22</v>
      </c>
      <c r="B23" s="6" t="s">
        <v>133</v>
      </c>
      <c r="C23" s="6" t="s">
        <v>134</v>
      </c>
      <c r="D23" s="7">
        <v>40092</v>
      </c>
      <c r="E23" s="11" t="s">
        <v>13</v>
      </c>
      <c r="F23" s="6">
        <v>9.8000000000000007</v>
      </c>
      <c r="G23" s="12" t="str">
        <f t="shared" si="0"/>
        <v>S</v>
      </c>
      <c r="H23" s="13">
        <f t="shared" ca="1" si="1"/>
        <v>17</v>
      </c>
      <c r="I23" s="13" t="str">
        <f t="shared" ca="1" si="2"/>
        <v/>
      </c>
      <c r="J23" s="13" t="str">
        <f t="shared" ca="1" si="3"/>
        <v/>
      </c>
    </row>
    <row r="24" spans="1:10" ht="24.6" x14ac:dyDescent="0.4">
      <c r="A24" s="10">
        <v>23</v>
      </c>
      <c r="B24" s="6" t="s">
        <v>138</v>
      </c>
      <c r="C24" s="6" t="s">
        <v>106</v>
      </c>
      <c r="D24" s="7">
        <v>41758</v>
      </c>
      <c r="E24" s="11" t="s">
        <v>13</v>
      </c>
      <c r="F24" s="6">
        <v>9.8000000000000007</v>
      </c>
      <c r="G24" s="12" t="str">
        <f t="shared" si="0"/>
        <v>S</v>
      </c>
      <c r="H24" s="13">
        <f t="shared" ca="1" si="1"/>
        <v>12</v>
      </c>
      <c r="I24" s="13" t="str">
        <f t="shared" ca="1" si="2"/>
        <v/>
      </c>
      <c r="J24" s="13" t="str">
        <f t="shared" ca="1" si="3"/>
        <v/>
      </c>
    </row>
    <row r="25" spans="1:10" ht="24.6" x14ac:dyDescent="0.4">
      <c r="A25" s="10">
        <v>24</v>
      </c>
      <c r="B25" s="6" t="s">
        <v>140</v>
      </c>
      <c r="C25" s="6" t="s">
        <v>130</v>
      </c>
      <c r="D25" s="7">
        <v>41985</v>
      </c>
      <c r="E25" s="11" t="s">
        <v>13</v>
      </c>
      <c r="F25" s="6">
        <v>9.8000000000000007</v>
      </c>
      <c r="G25" s="12" t="str">
        <f t="shared" si="0"/>
        <v>S</v>
      </c>
      <c r="H25" s="13">
        <f t="shared" ca="1" si="1"/>
        <v>12</v>
      </c>
      <c r="I25" s="13" t="str">
        <f t="shared" ca="1" si="2"/>
        <v/>
      </c>
      <c r="J25" s="13" t="str">
        <f t="shared" ca="1" si="3"/>
        <v/>
      </c>
    </row>
    <row r="26" spans="1:10" ht="24.6" x14ac:dyDescent="0.4">
      <c r="A26" s="10">
        <v>25</v>
      </c>
      <c r="B26" s="6" t="s">
        <v>137</v>
      </c>
      <c r="C26" s="6" t="s">
        <v>70</v>
      </c>
      <c r="D26" s="7">
        <v>41770</v>
      </c>
      <c r="E26" s="11" t="s">
        <v>13</v>
      </c>
      <c r="F26" s="6">
        <v>9.8000000000000007</v>
      </c>
      <c r="G26" s="12" t="str">
        <f t="shared" si="0"/>
        <v>S</v>
      </c>
      <c r="H26" s="13">
        <f t="shared" ca="1" si="1"/>
        <v>12</v>
      </c>
      <c r="I26" s="13" t="str">
        <f t="shared" ca="1" si="2"/>
        <v/>
      </c>
      <c r="J26" s="13" t="str">
        <f t="shared" ca="1" si="3"/>
        <v/>
      </c>
    </row>
    <row r="27" spans="1:10" ht="24.6" x14ac:dyDescent="0.4">
      <c r="A27" s="10">
        <v>26</v>
      </c>
      <c r="B27" s="6" t="s">
        <v>135</v>
      </c>
      <c r="C27" s="6" t="s">
        <v>136</v>
      </c>
      <c r="D27" s="7">
        <v>40092</v>
      </c>
      <c r="E27" s="15" t="s">
        <v>13</v>
      </c>
      <c r="F27" s="6">
        <v>9.8000000000000007</v>
      </c>
      <c r="G27" s="12" t="str">
        <f t="shared" si="0"/>
        <v>S</v>
      </c>
      <c r="H27" s="13">
        <f t="shared" ca="1" si="1"/>
        <v>17</v>
      </c>
      <c r="I27" s="13" t="str">
        <f t="shared" ca="1" si="2"/>
        <v/>
      </c>
      <c r="J27" s="13" t="str">
        <f t="shared" ca="1" si="3"/>
        <v/>
      </c>
    </row>
    <row r="28" spans="1:10" ht="24.6" x14ac:dyDescent="0.4">
      <c r="A28" s="10">
        <v>27</v>
      </c>
      <c r="B28" s="6" t="s">
        <v>139</v>
      </c>
      <c r="C28" s="6" t="s">
        <v>130</v>
      </c>
      <c r="D28" s="7">
        <v>41605</v>
      </c>
      <c r="E28" s="11" t="s">
        <v>13</v>
      </c>
      <c r="F28" s="6">
        <v>9.8000000000000007</v>
      </c>
      <c r="G28" s="12" t="str">
        <f t="shared" si="0"/>
        <v>S</v>
      </c>
      <c r="H28" s="13">
        <f t="shared" ca="1" si="1"/>
        <v>13</v>
      </c>
      <c r="I28" s="13" t="str">
        <f t="shared" ca="1" si="2"/>
        <v/>
      </c>
      <c r="J28" s="13" t="str">
        <f t="shared" ca="1" si="3"/>
        <v/>
      </c>
    </row>
    <row r="29" spans="1:10" ht="24.6" x14ac:dyDescent="0.4">
      <c r="A29" s="10">
        <v>28</v>
      </c>
      <c r="B29" s="6" t="s">
        <v>113</v>
      </c>
      <c r="C29" s="6" t="s">
        <v>106</v>
      </c>
      <c r="D29" s="7">
        <v>39386</v>
      </c>
      <c r="E29" s="11" t="s">
        <v>13</v>
      </c>
      <c r="F29" s="6">
        <v>9.8000000000000007</v>
      </c>
      <c r="G29" s="12" t="str">
        <f t="shared" si="0"/>
        <v>S</v>
      </c>
      <c r="H29" s="13">
        <f t="shared" ca="1" si="1"/>
        <v>19</v>
      </c>
      <c r="I29" s="13" t="str">
        <f t="shared" ca="1" si="2"/>
        <v/>
      </c>
      <c r="J29" s="13" t="str">
        <f t="shared" ca="1" si="3"/>
        <v/>
      </c>
    </row>
    <row r="30" spans="1:10" ht="24.6" x14ac:dyDescent="0.4">
      <c r="A30" s="10">
        <v>29</v>
      </c>
      <c r="B30" s="6" t="s">
        <v>159</v>
      </c>
      <c r="C30" s="6" t="s">
        <v>160</v>
      </c>
      <c r="D30" s="7">
        <v>41122</v>
      </c>
      <c r="E30" s="15" t="s">
        <v>13</v>
      </c>
      <c r="F30" s="6">
        <v>9.8000000000000007</v>
      </c>
      <c r="G30" s="12" t="str">
        <f t="shared" si="0"/>
        <v>S</v>
      </c>
      <c r="H30" s="13">
        <f t="shared" ca="1" si="1"/>
        <v>14</v>
      </c>
      <c r="I30" s="13" t="str">
        <f t="shared" ca="1" si="2"/>
        <v/>
      </c>
      <c r="J30" s="13" t="str">
        <f t="shared" ca="1" si="3"/>
        <v/>
      </c>
    </row>
    <row r="31" spans="1:10" ht="24.6" x14ac:dyDescent="0.4">
      <c r="A31" s="10">
        <v>30</v>
      </c>
      <c r="B31" s="6" t="s">
        <v>164</v>
      </c>
      <c r="C31" s="6" t="s">
        <v>106</v>
      </c>
      <c r="D31" s="7">
        <v>44721</v>
      </c>
      <c r="E31" s="11" t="s">
        <v>13</v>
      </c>
      <c r="F31" s="6">
        <v>9.8000000000000007</v>
      </c>
      <c r="G31" s="12" t="str">
        <f t="shared" si="0"/>
        <v>S</v>
      </c>
      <c r="H31" s="13">
        <f t="shared" ca="1" si="1"/>
        <v>4</v>
      </c>
      <c r="I31" s="13" t="str">
        <f t="shared" ca="1" si="2"/>
        <v/>
      </c>
      <c r="J31" s="13" t="str">
        <f t="shared" ca="1" si="3"/>
        <v/>
      </c>
    </row>
    <row r="32" spans="1:10" ht="24.6" x14ac:dyDescent="0.4">
      <c r="A32" s="10">
        <v>31</v>
      </c>
      <c r="B32" s="6" t="s">
        <v>81</v>
      </c>
      <c r="C32" s="6" t="s">
        <v>82</v>
      </c>
      <c r="D32" s="7">
        <v>42035</v>
      </c>
      <c r="E32" s="11" t="s">
        <v>13</v>
      </c>
      <c r="F32" s="6">
        <v>9.6999999999999993</v>
      </c>
      <c r="G32" s="12" t="str">
        <f t="shared" si="0"/>
        <v>S</v>
      </c>
      <c r="H32" s="13">
        <f t="shared" ca="1" si="1"/>
        <v>11</v>
      </c>
      <c r="I32" s="13" t="str">
        <f t="shared" ca="1" si="2"/>
        <v/>
      </c>
      <c r="J32" s="13" t="str">
        <f t="shared" ca="1" si="3"/>
        <v/>
      </c>
    </row>
    <row r="33" spans="1:10" ht="24.6" x14ac:dyDescent="0.4">
      <c r="A33" s="10">
        <v>32</v>
      </c>
      <c r="B33" s="6" t="s">
        <v>95</v>
      </c>
      <c r="C33" s="6" t="s">
        <v>96</v>
      </c>
      <c r="D33" s="7">
        <v>41641</v>
      </c>
      <c r="E33" s="11" t="s">
        <v>13</v>
      </c>
      <c r="F33" s="6">
        <v>9.6999999999999993</v>
      </c>
      <c r="G33" s="12" t="str">
        <f t="shared" si="0"/>
        <v>S</v>
      </c>
      <c r="H33" s="13">
        <f t="shared" ca="1" si="1"/>
        <v>12</v>
      </c>
      <c r="I33" s="13" t="str">
        <f t="shared" ca="1" si="2"/>
        <v/>
      </c>
      <c r="J33" s="13" t="str">
        <f t="shared" ca="1" si="3"/>
        <v/>
      </c>
    </row>
    <row r="34" spans="1:10" ht="24.6" x14ac:dyDescent="0.4">
      <c r="A34" s="10">
        <v>33</v>
      </c>
      <c r="B34" s="6" t="s">
        <v>97</v>
      </c>
      <c r="C34" s="6" t="s">
        <v>98</v>
      </c>
      <c r="D34" s="7">
        <v>41384</v>
      </c>
      <c r="E34" s="11" t="s">
        <v>13</v>
      </c>
      <c r="F34" s="6">
        <v>9.6999999999999993</v>
      </c>
      <c r="G34" s="12" t="str">
        <f t="shared" ref="G34:G58" si="4">IF(AND(F34&lt;=10, F34&gt;=9), "S", IF(F34&gt;=8, "A", IF(F34&gt;=7, "B", "C")))</f>
        <v>S</v>
      </c>
      <c r="H34" s="13">
        <f t="shared" ref="H34:H58" ca="1" si="5">YEAR(TODAY())-YEAR(D34)</f>
        <v>13</v>
      </c>
      <c r="I34" s="13" t="str">
        <f t="shared" ref="I34:I58" ca="1" si="6">IF(MOD(H34,10)=0,H34&amp;"周岁快乐","")</f>
        <v/>
      </c>
      <c r="J34" s="13" t="str">
        <f t="shared" ref="J34:J58" ca="1" si="7">IF(AND(MONTH(D34)=MONTH(TODAY()),DAY(D34)=DAY(TODAY())),"生日快乐","")</f>
        <v/>
      </c>
    </row>
    <row r="35" spans="1:10" ht="24.6" x14ac:dyDescent="0.4">
      <c r="A35" s="10">
        <v>34</v>
      </c>
      <c r="B35" s="6" t="s">
        <v>157</v>
      </c>
      <c r="C35" s="6" t="s">
        <v>158</v>
      </c>
      <c r="D35" s="7">
        <v>41053</v>
      </c>
      <c r="E35" s="11" t="s">
        <v>13</v>
      </c>
      <c r="F35" s="6">
        <v>9.6999999999999993</v>
      </c>
      <c r="G35" s="12" t="str">
        <f t="shared" si="4"/>
        <v>S</v>
      </c>
      <c r="H35" s="13">
        <f t="shared" ca="1" si="5"/>
        <v>14</v>
      </c>
      <c r="I35" s="13" t="str">
        <f t="shared" ca="1" si="6"/>
        <v/>
      </c>
      <c r="J35" s="13" t="str">
        <f t="shared" ca="1" si="7"/>
        <v/>
      </c>
    </row>
    <row r="36" spans="1:10" ht="24.6" x14ac:dyDescent="0.4">
      <c r="A36" s="10">
        <v>35</v>
      </c>
      <c r="B36" s="6" t="s">
        <v>103</v>
      </c>
      <c r="C36" s="6" t="s">
        <v>104</v>
      </c>
      <c r="D36" s="7">
        <v>42399</v>
      </c>
      <c r="E36" s="11" t="s">
        <v>13</v>
      </c>
      <c r="F36" s="6">
        <v>9.6999999999999993</v>
      </c>
      <c r="G36" s="12" t="str">
        <f t="shared" si="4"/>
        <v>S</v>
      </c>
      <c r="H36" s="13">
        <f t="shared" ca="1" si="5"/>
        <v>10</v>
      </c>
      <c r="I36" s="13" t="str">
        <f t="shared" ca="1" si="6"/>
        <v>10周岁快乐</v>
      </c>
      <c r="J36" s="13" t="str">
        <f t="shared" ca="1" si="7"/>
        <v/>
      </c>
    </row>
    <row r="37" spans="1:10" ht="24.6" x14ac:dyDescent="0.4">
      <c r="A37" s="10">
        <v>36</v>
      </c>
      <c r="B37" s="6" t="s">
        <v>83</v>
      </c>
      <c r="C37" s="6" t="s">
        <v>84</v>
      </c>
      <c r="D37" s="7">
        <v>42389</v>
      </c>
      <c r="E37" s="11" t="s">
        <v>13</v>
      </c>
      <c r="F37" s="6">
        <v>9.6999999999999993</v>
      </c>
      <c r="G37" s="12" t="str">
        <f t="shared" si="4"/>
        <v>S</v>
      </c>
      <c r="H37" s="13">
        <f t="shared" ca="1" si="5"/>
        <v>10</v>
      </c>
      <c r="I37" s="13" t="str">
        <f t="shared" ca="1" si="6"/>
        <v>10周岁快乐</v>
      </c>
      <c r="J37" s="13" t="str">
        <f t="shared" ca="1" si="7"/>
        <v/>
      </c>
    </row>
    <row r="38" spans="1:10" ht="24.6" x14ac:dyDescent="0.4">
      <c r="A38" s="10">
        <v>37</v>
      </c>
      <c r="B38" s="6" t="s">
        <v>125</v>
      </c>
      <c r="C38" s="6" t="s">
        <v>126</v>
      </c>
      <c r="D38" s="7">
        <v>35174</v>
      </c>
      <c r="E38" s="11" t="s">
        <v>13</v>
      </c>
      <c r="F38" s="6">
        <v>9.6999999999999993</v>
      </c>
      <c r="G38" s="12" t="str">
        <f t="shared" si="4"/>
        <v>S</v>
      </c>
      <c r="H38" s="13">
        <f t="shared" ca="1" si="5"/>
        <v>30</v>
      </c>
      <c r="I38" s="13" t="str">
        <f t="shared" ca="1" si="6"/>
        <v>30周岁快乐</v>
      </c>
      <c r="J38" s="13" t="str">
        <f t="shared" ca="1" si="7"/>
        <v/>
      </c>
    </row>
    <row r="39" spans="1:10" ht="24.6" x14ac:dyDescent="0.4">
      <c r="A39" s="10">
        <v>38</v>
      </c>
      <c r="B39" s="6" t="s">
        <v>163</v>
      </c>
      <c r="C39" s="6" t="s">
        <v>106</v>
      </c>
      <c r="D39" s="7">
        <v>40355</v>
      </c>
      <c r="E39" s="11" t="s">
        <v>13</v>
      </c>
      <c r="F39" s="6">
        <v>9.6999999999999993</v>
      </c>
      <c r="G39" s="12" t="str">
        <f t="shared" si="4"/>
        <v>S</v>
      </c>
      <c r="H39" s="13">
        <f t="shared" ca="1" si="5"/>
        <v>16</v>
      </c>
      <c r="I39" s="13" t="str">
        <f t="shared" ca="1" si="6"/>
        <v/>
      </c>
      <c r="J39" s="13" t="str">
        <f t="shared" ca="1" si="7"/>
        <v/>
      </c>
    </row>
    <row r="40" spans="1:10" ht="24.6" x14ac:dyDescent="0.4">
      <c r="A40" s="10">
        <v>39</v>
      </c>
      <c r="B40" s="6" t="s">
        <v>127</v>
      </c>
      <c r="C40" s="6" t="s">
        <v>128</v>
      </c>
      <c r="D40" s="7">
        <v>31828</v>
      </c>
      <c r="E40" s="11" t="s">
        <v>13</v>
      </c>
      <c r="F40" s="6">
        <v>9.6999999999999993</v>
      </c>
      <c r="G40" s="12" t="str">
        <f t="shared" si="4"/>
        <v>S</v>
      </c>
      <c r="H40" s="13">
        <f t="shared" ca="1" si="5"/>
        <v>39</v>
      </c>
      <c r="I40" s="13" t="str">
        <f t="shared" ca="1" si="6"/>
        <v/>
      </c>
      <c r="J40" s="13" t="str">
        <f t="shared" ca="1" si="7"/>
        <v/>
      </c>
    </row>
    <row r="41" spans="1:10" ht="24.6" x14ac:dyDescent="0.4">
      <c r="A41" s="10">
        <v>40</v>
      </c>
      <c r="B41" s="6" t="s">
        <v>105</v>
      </c>
      <c r="C41" s="6" t="s">
        <v>106</v>
      </c>
      <c r="D41" s="7">
        <v>41257</v>
      </c>
      <c r="E41" s="11" t="s">
        <v>13</v>
      </c>
      <c r="F41" s="6">
        <v>9.6999999999999993</v>
      </c>
      <c r="G41" s="12" t="str">
        <f t="shared" si="4"/>
        <v>S</v>
      </c>
      <c r="H41" s="13">
        <f t="shared" ca="1" si="5"/>
        <v>14</v>
      </c>
      <c r="I41" s="13" t="str">
        <f t="shared" ca="1" si="6"/>
        <v/>
      </c>
      <c r="J41" s="13" t="str">
        <f t="shared" ca="1" si="7"/>
        <v/>
      </c>
    </row>
    <row r="42" spans="1:10" ht="24.6" x14ac:dyDescent="0.4">
      <c r="A42" s="10">
        <v>41</v>
      </c>
      <c r="B42" s="6" t="s">
        <v>149</v>
      </c>
      <c r="C42" s="6" t="s">
        <v>150</v>
      </c>
      <c r="D42" s="7">
        <v>40087</v>
      </c>
      <c r="E42" s="11" t="s">
        <v>13</v>
      </c>
      <c r="F42" s="6">
        <v>9.6999999999999993</v>
      </c>
      <c r="G42" s="12" t="str">
        <f t="shared" si="4"/>
        <v>S</v>
      </c>
      <c r="H42" s="13">
        <f t="shared" ca="1" si="5"/>
        <v>17</v>
      </c>
      <c r="I42" s="13" t="str">
        <f t="shared" ca="1" si="6"/>
        <v/>
      </c>
      <c r="J42" s="13" t="str">
        <f t="shared" ca="1" si="7"/>
        <v/>
      </c>
    </row>
    <row r="43" spans="1:10" ht="24.6" x14ac:dyDescent="0.4">
      <c r="A43" s="10">
        <v>42</v>
      </c>
      <c r="B43" s="6" t="s">
        <v>123</v>
      </c>
      <c r="C43" s="6" t="s">
        <v>124</v>
      </c>
      <c r="D43" s="7">
        <v>43091</v>
      </c>
      <c r="E43" s="11" t="s">
        <v>13</v>
      </c>
      <c r="F43" s="6">
        <v>9.6999999999999993</v>
      </c>
      <c r="G43" s="12" t="str">
        <f t="shared" si="4"/>
        <v>S</v>
      </c>
      <c r="H43" s="13">
        <f t="shared" ca="1" si="5"/>
        <v>9</v>
      </c>
      <c r="I43" s="13" t="str">
        <f t="shared" ca="1" si="6"/>
        <v/>
      </c>
      <c r="J43" s="13" t="str">
        <f t="shared" ca="1" si="7"/>
        <v/>
      </c>
    </row>
    <row r="44" spans="1:10" ht="24.6" x14ac:dyDescent="0.4">
      <c r="A44" s="10">
        <v>43</v>
      </c>
      <c r="B44" s="6" t="s">
        <v>93</v>
      </c>
      <c r="C44" s="6" t="s">
        <v>94</v>
      </c>
      <c r="D44" s="7">
        <v>42761</v>
      </c>
      <c r="E44" s="11" t="s">
        <v>13</v>
      </c>
      <c r="F44" s="6">
        <v>9.6999999999999993</v>
      </c>
      <c r="G44" s="12" t="str">
        <f t="shared" si="4"/>
        <v>S</v>
      </c>
      <c r="H44" s="13">
        <f t="shared" ca="1" si="5"/>
        <v>9</v>
      </c>
      <c r="I44" s="13" t="str">
        <f t="shared" ca="1" si="6"/>
        <v/>
      </c>
      <c r="J44" s="13" t="str">
        <f t="shared" ca="1" si="7"/>
        <v/>
      </c>
    </row>
    <row r="45" spans="1:10" ht="24.6" x14ac:dyDescent="0.4">
      <c r="A45" s="10">
        <v>44</v>
      </c>
      <c r="B45" s="6" t="s">
        <v>167</v>
      </c>
      <c r="C45" s="6" t="s">
        <v>106</v>
      </c>
      <c r="D45" s="7">
        <v>42529</v>
      </c>
      <c r="E45" s="11" t="s">
        <v>13</v>
      </c>
      <c r="F45" s="6">
        <v>9.6999999999999993</v>
      </c>
      <c r="G45" s="12" t="str">
        <f t="shared" si="4"/>
        <v>S</v>
      </c>
      <c r="H45" s="13">
        <f t="shared" ca="1" si="5"/>
        <v>10</v>
      </c>
      <c r="I45" s="13" t="str">
        <f t="shared" ca="1" si="6"/>
        <v>10周岁快乐</v>
      </c>
      <c r="J45" s="13" t="str">
        <f t="shared" ca="1" si="7"/>
        <v/>
      </c>
    </row>
    <row r="46" spans="1:10" ht="24.6" x14ac:dyDescent="0.4">
      <c r="A46" s="10">
        <v>45</v>
      </c>
      <c r="B46" s="6" t="s">
        <v>129</v>
      </c>
      <c r="C46" s="6" t="s">
        <v>130</v>
      </c>
      <c r="D46" s="7">
        <v>42331</v>
      </c>
      <c r="E46" s="15" t="s">
        <v>13</v>
      </c>
      <c r="F46" s="6">
        <v>9.6999999999999993</v>
      </c>
      <c r="G46" s="12" t="str">
        <f t="shared" si="4"/>
        <v>S</v>
      </c>
      <c r="H46" s="13">
        <f t="shared" ca="1" si="5"/>
        <v>11</v>
      </c>
      <c r="I46" s="13" t="str">
        <f t="shared" ca="1" si="6"/>
        <v/>
      </c>
      <c r="J46" s="13" t="str">
        <f t="shared" ca="1" si="7"/>
        <v/>
      </c>
    </row>
    <row r="47" spans="1:10" ht="24.6" x14ac:dyDescent="0.4">
      <c r="A47" s="10">
        <v>46</v>
      </c>
      <c r="B47" s="6" t="s">
        <v>192</v>
      </c>
      <c r="C47" s="6" t="s">
        <v>193</v>
      </c>
      <c r="D47" s="7">
        <v>43022</v>
      </c>
      <c r="E47" s="11" t="s">
        <v>13</v>
      </c>
      <c r="F47" s="6">
        <v>9.6999999999999993</v>
      </c>
      <c r="G47" s="12" t="str">
        <f t="shared" si="4"/>
        <v>S</v>
      </c>
      <c r="H47" s="13">
        <f t="shared" ca="1" si="5"/>
        <v>9</v>
      </c>
      <c r="I47" s="13" t="str">
        <f t="shared" ca="1" si="6"/>
        <v/>
      </c>
      <c r="J47" s="13" t="str">
        <f t="shared" ca="1" si="7"/>
        <v/>
      </c>
    </row>
    <row r="48" spans="1:10" ht="24.6" x14ac:dyDescent="0.4">
      <c r="A48" s="10">
        <v>47</v>
      </c>
      <c r="B48" s="6" t="s">
        <v>151</v>
      </c>
      <c r="C48" s="6" t="s">
        <v>152</v>
      </c>
      <c r="D48" s="7">
        <v>41128</v>
      </c>
      <c r="E48" s="11" t="s">
        <v>13</v>
      </c>
      <c r="F48" s="6">
        <v>9.6</v>
      </c>
      <c r="G48" s="12" t="str">
        <f t="shared" si="4"/>
        <v>S</v>
      </c>
      <c r="H48" s="13">
        <f t="shared" ca="1" si="5"/>
        <v>14</v>
      </c>
      <c r="I48" s="13" t="str">
        <f t="shared" ca="1" si="6"/>
        <v/>
      </c>
      <c r="J48" s="13" t="str">
        <f t="shared" ca="1" si="7"/>
        <v/>
      </c>
    </row>
    <row r="49" spans="1:10" ht="24.6" x14ac:dyDescent="0.4">
      <c r="A49" s="10">
        <v>48</v>
      </c>
      <c r="B49" s="6" t="s">
        <v>91</v>
      </c>
      <c r="C49" s="6" t="s">
        <v>92</v>
      </c>
      <c r="D49" s="7">
        <v>41255</v>
      </c>
      <c r="E49" s="11" t="s">
        <v>13</v>
      </c>
      <c r="F49" s="6">
        <v>9.6</v>
      </c>
      <c r="G49" s="12" t="str">
        <f t="shared" si="4"/>
        <v>S</v>
      </c>
      <c r="H49" s="13">
        <f t="shared" ca="1" si="5"/>
        <v>14</v>
      </c>
      <c r="I49" s="13" t="str">
        <f t="shared" ca="1" si="6"/>
        <v/>
      </c>
      <c r="J49" s="13" t="str">
        <f t="shared" ca="1" si="7"/>
        <v/>
      </c>
    </row>
    <row r="50" spans="1:10" ht="24.6" x14ac:dyDescent="0.4">
      <c r="A50" s="10">
        <v>49</v>
      </c>
      <c r="B50" s="6" t="s">
        <v>170</v>
      </c>
      <c r="C50" s="6" t="s">
        <v>171</v>
      </c>
      <c r="D50" s="7">
        <v>40575</v>
      </c>
      <c r="E50" s="11" t="s">
        <v>13</v>
      </c>
      <c r="F50" s="6">
        <v>9.6</v>
      </c>
      <c r="G50" s="12" t="str">
        <f t="shared" si="4"/>
        <v>S</v>
      </c>
      <c r="H50" s="13">
        <f t="shared" ca="1" si="5"/>
        <v>15</v>
      </c>
      <c r="I50" s="13" t="str">
        <f t="shared" ca="1" si="6"/>
        <v/>
      </c>
      <c r="J50" s="13" t="str">
        <f t="shared" ca="1" si="7"/>
        <v/>
      </c>
    </row>
    <row r="51" spans="1:10" ht="24.6" x14ac:dyDescent="0.4">
      <c r="A51" s="10">
        <v>50</v>
      </c>
      <c r="B51" s="6" t="s">
        <v>87</v>
      </c>
      <c r="C51" s="6" t="s">
        <v>88</v>
      </c>
      <c r="D51" s="7">
        <v>34304</v>
      </c>
      <c r="E51" s="11" t="s">
        <v>13</v>
      </c>
      <c r="F51" s="6">
        <v>9.6</v>
      </c>
      <c r="G51" s="12" t="str">
        <f t="shared" si="4"/>
        <v>S</v>
      </c>
      <c r="H51" s="13">
        <f t="shared" ca="1" si="5"/>
        <v>33</v>
      </c>
      <c r="I51" s="13" t="str">
        <f t="shared" ca="1" si="6"/>
        <v/>
      </c>
      <c r="J51" s="13" t="str">
        <f t="shared" ca="1" si="7"/>
        <v/>
      </c>
    </row>
    <row r="52" spans="1:10" ht="24.6" x14ac:dyDescent="0.4">
      <c r="A52" s="10">
        <v>51</v>
      </c>
      <c r="B52" s="6" t="s">
        <v>165</v>
      </c>
      <c r="C52" s="6" t="s">
        <v>166</v>
      </c>
      <c r="D52" s="7">
        <v>35744</v>
      </c>
      <c r="E52" s="11" t="s">
        <v>13</v>
      </c>
      <c r="F52" s="6">
        <v>9.6</v>
      </c>
      <c r="G52" s="12" t="str">
        <f t="shared" si="4"/>
        <v>S</v>
      </c>
      <c r="H52" s="13">
        <f t="shared" ca="1" si="5"/>
        <v>29</v>
      </c>
      <c r="I52" s="13" t="str">
        <f t="shared" ca="1" si="6"/>
        <v/>
      </c>
      <c r="J52" s="13" t="str">
        <f t="shared" ca="1" si="7"/>
        <v/>
      </c>
    </row>
    <row r="53" spans="1:10" ht="24.6" x14ac:dyDescent="0.4">
      <c r="A53" s="10">
        <v>52</v>
      </c>
      <c r="B53" s="6" t="s">
        <v>168</v>
      </c>
      <c r="C53" s="6" t="s">
        <v>169</v>
      </c>
      <c r="D53" s="7">
        <v>30286</v>
      </c>
      <c r="E53" s="11" t="s">
        <v>13</v>
      </c>
      <c r="F53" s="6">
        <v>9.6</v>
      </c>
      <c r="G53" s="12" t="str">
        <f t="shared" si="4"/>
        <v>S</v>
      </c>
      <c r="H53" s="13">
        <f t="shared" ca="1" si="5"/>
        <v>44</v>
      </c>
      <c r="I53" s="13" t="str">
        <f t="shared" ca="1" si="6"/>
        <v/>
      </c>
      <c r="J53" s="13" t="str">
        <f t="shared" ca="1" si="7"/>
        <v/>
      </c>
    </row>
    <row r="54" spans="1:10" ht="24.6" x14ac:dyDescent="0.4">
      <c r="A54" s="10">
        <v>53</v>
      </c>
      <c r="B54" s="6" t="s">
        <v>109</v>
      </c>
      <c r="C54" s="6" t="s">
        <v>110</v>
      </c>
      <c r="D54" s="7">
        <v>41147</v>
      </c>
      <c r="E54" s="11" t="s">
        <v>13</v>
      </c>
      <c r="F54" s="6">
        <v>9.6</v>
      </c>
      <c r="G54" s="12" t="str">
        <f t="shared" si="4"/>
        <v>S</v>
      </c>
      <c r="H54" s="13">
        <f t="shared" ca="1" si="5"/>
        <v>14</v>
      </c>
      <c r="I54" s="13" t="str">
        <f t="shared" ca="1" si="6"/>
        <v/>
      </c>
      <c r="J54" s="13" t="str">
        <f t="shared" ca="1" si="7"/>
        <v/>
      </c>
    </row>
    <row r="55" spans="1:10" ht="24.6" x14ac:dyDescent="0.4">
      <c r="A55" s="10">
        <v>54</v>
      </c>
      <c r="B55" s="6" t="s">
        <v>85</v>
      </c>
      <c r="C55" s="6" t="s">
        <v>86</v>
      </c>
      <c r="D55" s="7">
        <v>42955</v>
      </c>
      <c r="E55" s="11" t="s">
        <v>13</v>
      </c>
      <c r="F55" s="6">
        <v>9.5</v>
      </c>
      <c r="G55" s="12" t="str">
        <f t="shared" si="4"/>
        <v>S</v>
      </c>
      <c r="H55" s="13">
        <f t="shared" ca="1" si="5"/>
        <v>9</v>
      </c>
      <c r="I55" s="13" t="str">
        <f t="shared" ca="1" si="6"/>
        <v/>
      </c>
      <c r="J55" s="13" t="str">
        <f t="shared" ca="1" si="7"/>
        <v/>
      </c>
    </row>
    <row r="56" spans="1:10" ht="24.6" x14ac:dyDescent="0.4">
      <c r="A56" s="10">
        <v>55</v>
      </c>
      <c r="B56" s="6" t="s">
        <v>111</v>
      </c>
      <c r="C56" s="6" t="s">
        <v>112</v>
      </c>
      <c r="D56" s="7">
        <v>41733</v>
      </c>
      <c r="E56" s="11" t="s">
        <v>13</v>
      </c>
      <c r="F56" s="6">
        <v>9.5</v>
      </c>
      <c r="G56" s="12" t="str">
        <f t="shared" si="4"/>
        <v>S</v>
      </c>
      <c r="H56" s="13">
        <f t="shared" ca="1" si="5"/>
        <v>12</v>
      </c>
      <c r="I56" s="13" t="str">
        <f t="shared" ca="1" si="6"/>
        <v/>
      </c>
      <c r="J56" s="13" t="str">
        <f t="shared" ca="1" si="7"/>
        <v/>
      </c>
    </row>
    <row r="57" spans="1:10" ht="24.6" x14ac:dyDescent="0.4">
      <c r="A57" s="10"/>
      <c r="B57" s="6"/>
      <c r="C57" s="6"/>
      <c r="D57" s="7"/>
      <c r="E57" s="11"/>
      <c r="F57" s="6"/>
      <c r="G57" s="12" t="str">
        <f t="shared" si="4"/>
        <v>C</v>
      </c>
      <c r="H57" s="13">
        <f t="shared" ca="1" si="5"/>
        <v>126</v>
      </c>
      <c r="I57" s="13" t="str">
        <f t="shared" ca="1" si="6"/>
        <v/>
      </c>
      <c r="J57" s="13" t="str">
        <f t="shared" ca="1" si="7"/>
        <v/>
      </c>
    </row>
    <row r="58" spans="1:10" ht="24.6" x14ac:dyDescent="0.4">
      <c r="A58" s="10"/>
      <c r="B58" s="6"/>
      <c r="C58" s="6"/>
      <c r="D58" s="7"/>
      <c r="E58" s="11"/>
      <c r="F58" s="6"/>
      <c r="G58" s="12" t="str">
        <f t="shared" si="4"/>
        <v>C</v>
      </c>
      <c r="H58" s="13">
        <f t="shared" ca="1" si="5"/>
        <v>126</v>
      </c>
      <c r="I58" s="13" t="str">
        <f t="shared" ca="1" si="6"/>
        <v/>
      </c>
      <c r="J58" s="13" t="str">
        <f t="shared" ca="1" si="7"/>
        <v/>
      </c>
    </row>
    <row r="59" spans="1:10" ht="24.6" x14ac:dyDescent="0.4">
      <c r="A59" s="10"/>
      <c r="B59" s="6"/>
      <c r="C59" s="6"/>
      <c r="D59" s="7"/>
      <c r="E59" s="11"/>
      <c r="F59" s="6"/>
      <c r="G59" s="12"/>
      <c r="H59" s="13"/>
      <c r="I59" s="13"/>
      <c r="J59" s="13"/>
    </row>
    <row r="60" spans="1:10" ht="24.6" x14ac:dyDescent="0.4">
      <c r="A60" s="10"/>
      <c r="B60" s="6"/>
      <c r="C60" s="6"/>
      <c r="D60" s="7"/>
      <c r="E60" s="11"/>
      <c r="F60" s="6"/>
      <c r="G60" s="12"/>
      <c r="H60" s="13"/>
      <c r="I60" s="13"/>
      <c r="J60" s="13"/>
    </row>
    <row r="61" spans="1:10" ht="24.6" x14ac:dyDescent="0.4">
      <c r="A61" s="10"/>
      <c r="B61" s="6"/>
      <c r="C61" s="6"/>
      <c r="D61" s="7"/>
      <c r="E61" s="11"/>
      <c r="F61" s="6"/>
      <c r="G61" s="12"/>
      <c r="H61" s="13"/>
      <c r="I61" s="13"/>
      <c r="J61" s="13"/>
    </row>
    <row r="62" spans="1:10" ht="24.6" x14ac:dyDescent="0.4">
      <c r="A62" s="10"/>
      <c r="B62" s="6"/>
      <c r="C62" s="6"/>
      <c r="D62" s="7"/>
      <c r="E62" s="11"/>
      <c r="F62" s="6"/>
      <c r="G62" s="12"/>
      <c r="H62" s="13"/>
      <c r="I62" s="13"/>
      <c r="J62" s="13"/>
    </row>
    <row r="63" spans="1:10" ht="24.6" x14ac:dyDescent="0.4">
      <c r="A63" s="10"/>
      <c r="B63" s="6"/>
      <c r="C63" s="6"/>
      <c r="D63" s="7"/>
      <c r="E63" s="11"/>
      <c r="F63" s="6"/>
      <c r="G63" s="12"/>
      <c r="H63" s="13"/>
      <c r="I63" s="13"/>
      <c r="J63" s="13"/>
    </row>
    <row r="64" spans="1:10" ht="24.6" x14ac:dyDescent="0.4">
      <c r="A64" s="10"/>
      <c r="B64" s="6"/>
      <c r="C64" s="6"/>
      <c r="D64" s="7"/>
      <c r="E64" s="11"/>
      <c r="F64" s="6"/>
      <c r="G64" s="12"/>
      <c r="H64" s="13"/>
      <c r="I64" s="13"/>
      <c r="J64" s="13"/>
    </row>
    <row r="65" spans="1:10" ht="24.6" x14ac:dyDescent="0.4">
      <c r="A65" s="10"/>
      <c r="B65" s="6"/>
      <c r="C65" s="6"/>
      <c r="D65" s="7"/>
      <c r="E65" s="11"/>
      <c r="F65" s="6"/>
      <c r="G65" s="12"/>
      <c r="H65" s="13"/>
      <c r="I65" s="13"/>
      <c r="J65" s="13"/>
    </row>
    <row r="66" spans="1:10" ht="24.6" x14ac:dyDescent="0.4">
      <c r="A66" s="10"/>
      <c r="B66" s="6"/>
      <c r="C66" s="6"/>
      <c r="D66" s="7"/>
      <c r="E66" s="11"/>
      <c r="F66" s="6"/>
      <c r="G66" s="12"/>
      <c r="H66" s="13"/>
      <c r="I66" s="13"/>
      <c r="J66" s="13"/>
    </row>
    <row r="67" spans="1:10" ht="24.6" x14ac:dyDescent="0.4">
      <c r="A67" s="10"/>
      <c r="B67" s="6"/>
      <c r="C67" s="6"/>
      <c r="D67" s="7"/>
      <c r="E67" s="11"/>
      <c r="F67" s="6"/>
      <c r="G67" s="12"/>
      <c r="H67" s="13"/>
      <c r="I67" s="13"/>
      <c r="J67" s="13"/>
    </row>
    <row r="68" spans="1:10" ht="24.6" x14ac:dyDescent="0.4">
      <c r="A68" s="10"/>
      <c r="B68" s="6"/>
      <c r="C68" s="6"/>
      <c r="D68" s="7"/>
      <c r="E68" s="11"/>
      <c r="F68" s="6"/>
      <c r="G68" s="12"/>
      <c r="H68" s="13"/>
      <c r="I68" s="13"/>
      <c r="J68" s="13"/>
    </row>
    <row r="69" spans="1:10" ht="24.6" x14ac:dyDescent="0.4">
      <c r="A69" s="10"/>
      <c r="B69" s="6"/>
      <c r="C69" s="6"/>
      <c r="D69" s="7"/>
      <c r="E69" s="11"/>
      <c r="F69" s="6"/>
      <c r="G69" s="12"/>
      <c r="H69" s="13"/>
      <c r="I69" s="13"/>
      <c r="J69" s="13"/>
    </row>
    <row r="70" spans="1:10" ht="24.6" x14ac:dyDescent="0.4">
      <c r="A70" s="10"/>
      <c r="B70" s="6"/>
      <c r="C70" s="6"/>
      <c r="D70" s="7"/>
      <c r="E70" s="11"/>
      <c r="F70" s="6"/>
      <c r="G70" s="12"/>
      <c r="H70" s="13"/>
      <c r="I70" s="13"/>
      <c r="J70" s="13"/>
    </row>
    <row r="71" spans="1:10" ht="24.6" x14ac:dyDescent="0.4">
      <c r="A71" s="10"/>
      <c r="B71" s="6"/>
      <c r="C71" s="6"/>
      <c r="D71" s="7"/>
      <c r="E71" s="11"/>
      <c r="F71" s="6"/>
      <c r="G71" s="12"/>
      <c r="H71" s="13"/>
      <c r="I71" s="13"/>
      <c r="J71" s="13"/>
    </row>
    <row r="72" spans="1:10" ht="24.6" x14ac:dyDescent="0.4">
      <c r="A72" s="10"/>
      <c r="B72" s="6"/>
      <c r="C72" s="6"/>
      <c r="D72" s="7"/>
      <c r="E72" s="11"/>
      <c r="F72" s="6"/>
      <c r="G72" s="12"/>
      <c r="H72" s="13"/>
      <c r="I72" s="13"/>
      <c r="J72" s="13"/>
    </row>
    <row r="73" spans="1:10" ht="24.6" x14ac:dyDescent="0.4">
      <c r="A73" s="10"/>
      <c r="B73" s="6"/>
      <c r="C73" s="6"/>
      <c r="D73" s="7"/>
      <c r="E73" s="11"/>
      <c r="F73" s="6"/>
      <c r="G73" s="12"/>
      <c r="H73" s="13"/>
      <c r="I73" s="13"/>
      <c r="J73" s="13"/>
    </row>
    <row r="74" spans="1:10" ht="24.6" x14ac:dyDescent="0.4">
      <c r="A74" s="10"/>
      <c r="B74" s="6"/>
      <c r="C74" s="6"/>
      <c r="D74" s="7"/>
      <c r="E74" s="11"/>
      <c r="F74" s="6"/>
      <c r="G74" s="12"/>
      <c r="H74" s="13"/>
      <c r="I74" s="13"/>
      <c r="J74" s="13"/>
    </row>
    <row r="75" spans="1:10" ht="24.6" x14ac:dyDescent="0.4">
      <c r="A75" s="10"/>
      <c r="B75" s="6"/>
      <c r="C75" s="6"/>
      <c r="D75" s="7"/>
      <c r="E75" s="11"/>
      <c r="F75" s="6"/>
      <c r="G75" s="12"/>
      <c r="H75" s="13"/>
      <c r="I75" s="13"/>
      <c r="J75" s="13"/>
    </row>
    <row r="76" spans="1:10" ht="24.6" x14ac:dyDescent="0.4">
      <c r="A76" s="10"/>
      <c r="B76" s="6"/>
      <c r="C76" s="6"/>
      <c r="D76" s="7"/>
      <c r="E76" s="11"/>
      <c r="F76" s="6"/>
      <c r="G76" s="12"/>
      <c r="H76" s="13"/>
      <c r="I76" s="13"/>
      <c r="J76" s="13"/>
    </row>
    <row r="77" spans="1:10" ht="24.6" x14ac:dyDescent="0.4">
      <c r="A77" s="10"/>
      <c r="B77" s="6"/>
      <c r="C77" s="6"/>
      <c r="D77" s="7"/>
      <c r="E77" s="11"/>
      <c r="F77" s="6"/>
      <c r="G77" s="12"/>
      <c r="H77" s="13"/>
      <c r="I77" s="13"/>
      <c r="J77" s="13"/>
    </row>
    <row r="78" spans="1:10" ht="24.6" x14ac:dyDescent="0.4">
      <c r="A78" s="10"/>
      <c r="B78" s="6"/>
      <c r="C78" s="6"/>
      <c r="D78" s="7"/>
      <c r="E78" s="11"/>
      <c r="F78" s="6"/>
      <c r="G78" s="12"/>
      <c r="H78" s="13"/>
      <c r="I78" s="13"/>
      <c r="J78" s="13"/>
    </row>
    <row r="79" spans="1:10" ht="24.6" x14ac:dyDescent="0.4">
      <c r="A79" s="10"/>
      <c r="B79" s="6"/>
      <c r="C79" s="6"/>
      <c r="D79" s="7"/>
      <c r="E79" s="11"/>
      <c r="F79" s="6"/>
      <c r="G79" s="12"/>
      <c r="H79" s="13"/>
      <c r="I79" s="13"/>
      <c r="J79" s="13"/>
    </row>
    <row r="80" spans="1:10" ht="24.6" x14ac:dyDescent="0.4">
      <c r="A80" s="10"/>
      <c r="B80" s="6"/>
      <c r="C80" s="6"/>
      <c r="D80" s="7"/>
      <c r="E80" s="11"/>
      <c r="F80" s="6"/>
      <c r="G80" s="12"/>
      <c r="H80" s="13"/>
      <c r="I80" s="13"/>
      <c r="J80" s="13"/>
    </row>
    <row r="81" spans="1:10" ht="24.6" x14ac:dyDescent="0.4">
      <c r="A81" s="10"/>
      <c r="B81" s="6"/>
      <c r="C81" s="6"/>
      <c r="D81" s="7"/>
      <c r="E81" s="11"/>
      <c r="F81" s="6"/>
      <c r="G81" s="12"/>
      <c r="H81" s="13"/>
      <c r="I81" s="13"/>
      <c r="J81" s="13"/>
    </row>
    <row r="82" spans="1:10" ht="24.6" x14ac:dyDescent="0.4">
      <c r="A82" s="10"/>
      <c r="B82" s="6"/>
      <c r="C82" s="6"/>
      <c r="D82" s="7"/>
      <c r="E82" s="11"/>
      <c r="F82" s="6"/>
      <c r="G82" s="12"/>
      <c r="H82" s="13"/>
      <c r="I82" s="13"/>
      <c r="J82" s="13"/>
    </row>
    <row r="83" spans="1:10" ht="24.6" x14ac:dyDescent="0.4">
      <c r="A83" s="10"/>
      <c r="B83" s="6"/>
      <c r="C83" s="6"/>
      <c r="D83" s="7"/>
      <c r="E83" s="11"/>
      <c r="F83" s="6"/>
      <c r="G83" s="12"/>
      <c r="H83" s="13"/>
      <c r="I83" s="13"/>
      <c r="J83" s="13"/>
    </row>
    <row r="84" spans="1:10" ht="24.6" x14ac:dyDescent="0.4">
      <c r="A84" s="10"/>
      <c r="B84" s="6"/>
      <c r="C84" s="6"/>
      <c r="D84" s="7"/>
      <c r="E84" s="11"/>
      <c r="F84" s="6"/>
      <c r="G84" s="12"/>
      <c r="H84" s="13"/>
      <c r="I84" s="13"/>
      <c r="J84" s="13"/>
    </row>
    <row r="85" spans="1:10" ht="24.6" x14ac:dyDescent="0.4">
      <c r="A85" s="10"/>
      <c r="B85" s="6"/>
      <c r="C85" s="14"/>
      <c r="D85" s="7"/>
      <c r="E85" s="11"/>
      <c r="F85" s="6"/>
      <c r="G85" s="12"/>
      <c r="H85" s="13"/>
      <c r="I85" s="13"/>
      <c r="J85" s="13"/>
    </row>
    <row r="86" spans="1:10" ht="24.6" x14ac:dyDescent="0.4">
      <c r="A86" s="10"/>
      <c r="B86" s="6"/>
      <c r="C86" s="6"/>
      <c r="D86" s="7"/>
      <c r="E86" s="11"/>
      <c r="F86" s="6"/>
      <c r="G86" s="12"/>
      <c r="H86" s="13"/>
      <c r="I86" s="13"/>
      <c r="J86" s="13"/>
    </row>
    <row r="87" spans="1:10" ht="24.6" x14ac:dyDescent="0.4">
      <c r="A87" s="10"/>
      <c r="B87" s="6"/>
      <c r="C87" s="6"/>
      <c r="D87" s="7"/>
      <c r="E87" s="11"/>
      <c r="F87" s="6"/>
      <c r="G87" s="12"/>
      <c r="H87" s="13"/>
      <c r="I87" s="13"/>
      <c r="J87" s="13"/>
    </row>
    <row r="88" spans="1:10" ht="24.6" x14ac:dyDescent="0.4">
      <c r="A88" s="10"/>
      <c r="B88" s="6"/>
      <c r="C88" s="6"/>
      <c r="D88" s="7"/>
      <c r="E88" s="11"/>
      <c r="F88" s="6"/>
      <c r="G88" s="12"/>
      <c r="H88" s="13"/>
      <c r="I88" s="13"/>
      <c r="J88" s="13"/>
    </row>
    <row r="89" spans="1:10" ht="24.6" x14ac:dyDescent="0.4">
      <c r="A89" s="10"/>
      <c r="B89" s="6"/>
      <c r="C89" s="6"/>
      <c r="D89" s="7"/>
      <c r="E89" s="11"/>
      <c r="F89" s="6"/>
      <c r="G89" s="12"/>
      <c r="H89" s="13"/>
      <c r="I89" s="13"/>
      <c r="J89" s="13"/>
    </row>
    <row r="90" spans="1:10" ht="24.6" x14ac:dyDescent="0.4">
      <c r="A90" s="10"/>
      <c r="B90" s="6"/>
      <c r="C90" s="6"/>
      <c r="D90" s="7"/>
      <c r="E90" s="11"/>
      <c r="F90" s="6"/>
      <c r="G90" s="12"/>
      <c r="H90" s="13"/>
      <c r="I90" s="13"/>
      <c r="J90" s="13"/>
    </row>
    <row r="91" spans="1:10" ht="24.6" x14ac:dyDescent="0.4">
      <c r="A91" s="10"/>
      <c r="B91" s="6"/>
      <c r="C91" s="6"/>
      <c r="D91" s="7"/>
      <c r="E91" s="11"/>
      <c r="F91" s="6"/>
      <c r="G91" s="12"/>
      <c r="H91" s="13"/>
      <c r="I91" s="13"/>
      <c r="J91" s="13"/>
    </row>
    <row r="92" spans="1:10" ht="24.6" x14ac:dyDescent="0.4">
      <c r="A92" s="10"/>
      <c r="B92" s="6"/>
      <c r="C92" s="6"/>
      <c r="D92" s="7"/>
      <c r="E92" s="11"/>
      <c r="F92" s="6"/>
      <c r="G92" s="12"/>
      <c r="H92" s="13"/>
      <c r="I92" s="13"/>
      <c r="J92" s="13"/>
    </row>
    <row r="93" spans="1:10" ht="24.6" x14ac:dyDescent="0.4">
      <c r="A93" s="10"/>
      <c r="B93" s="6"/>
      <c r="C93" s="6"/>
      <c r="D93" s="7"/>
      <c r="E93" s="11"/>
      <c r="F93" s="6"/>
      <c r="G93" s="12"/>
      <c r="H93" s="13"/>
      <c r="I93" s="13"/>
      <c r="J93" s="13"/>
    </row>
    <row r="94" spans="1:10" ht="24.6" x14ac:dyDescent="0.4">
      <c r="A94" s="10"/>
      <c r="B94" s="6"/>
      <c r="C94" s="6"/>
      <c r="D94" s="7"/>
      <c r="E94" s="11"/>
      <c r="F94" s="6"/>
      <c r="G94" s="12"/>
      <c r="H94" s="13"/>
      <c r="I94" s="13"/>
      <c r="J94" s="13"/>
    </row>
    <row r="95" spans="1:10" ht="24.6" x14ac:dyDescent="0.4">
      <c r="A95" s="10"/>
      <c r="B95" s="6"/>
      <c r="C95" s="6"/>
      <c r="D95" s="7"/>
      <c r="E95" s="11"/>
      <c r="F95" s="6"/>
      <c r="G95" s="12"/>
      <c r="H95" s="13"/>
      <c r="I95" s="13"/>
      <c r="J95" s="13"/>
    </row>
    <row r="96" spans="1:10" ht="24.6" x14ac:dyDescent="0.4">
      <c r="A96" s="10"/>
      <c r="B96" s="6"/>
      <c r="C96" s="6"/>
      <c r="D96" s="7"/>
      <c r="E96" s="11"/>
      <c r="F96" s="6"/>
      <c r="G96" s="12"/>
      <c r="H96" s="13"/>
      <c r="I96" s="13"/>
      <c r="J96" s="13"/>
    </row>
    <row r="97" spans="1:10" ht="24.6" x14ac:dyDescent="0.4">
      <c r="A97" s="10"/>
      <c r="B97" s="6"/>
      <c r="C97" s="6"/>
      <c r="D97" s="7"/>
      <c r="E97" s="11"/>
      <c r="F97" s="6"/>
      <c r="G97" s="12"/>
      <c r="H97" s="13"/>
      <c r="I97" s="13"/>
      <c r="J97" s="13"/>
    </row>
    <row r="98" spans="1:10" ht="24.6" x14ac:dyDescent="0.4">
      <c r="A98" s="10"/>
      <c r="B98" s="6"/>
      <c r="C98" s="6"/>
      <c r="D98" s="7"/>
      <c r="E98" s="11"/>
      <c r="F98" s="6"/>
      <c r="G98" s="12"/>
      <c r="H98" s="13"/>
      <c r="I98" s="13"/>
      <c r="J98" s="13"/>
    </row>
    <row r="99" spans="1:10" ht="24.6" x14ac:dyDescent="0.4">
      <c r="A99" s="10"/>
      <c r="B99" s="6"/>
      <c r="C99" s="6"/>
      <c r="D99" s="7"/>
      <c r="E99" s="11"/>
      <c r="F99" s="6"/>
      <c r="G99" s="12"/>
      <c r="H99" s="13"/>
      <c r="I99" s="13"/>
      <c r="J99" s="13"/>
    </row>
    <row r="100" spans="1:10" ht="24.6" x14ac:dyDescent="0.4">
      <c r="A100" s="10"/>
      <c r="F100" s="6"/>
      <c r="G100" s="12"/>
      <c r="H100" s="13"/>
      <c r="I100" s="13"/>
      <c r="J100" s="13"/>
    </row>
    <row r="101" spans="1:10" ht="24.6" x14ac:dyDescent="0.4">
      <c r="A101" s="10"/>
      <c r="F101" s="6"/>
      <c r="G101" s="12"/>
      <c r="H101" s="13"/>
      <c r="I101" s="13"/>
      <c r="J101" s="13"/>
    </row>
    <row r="102" spans="1:10" ht="24.6" x14ac:dyDescent="0.4">
      <c r="A102" s="10"/>
      <c r="F102" s="6"/>
      <c r="G102" s="12"/>
      <c r="H102" s="13"/>
      <c r="I102" s="13"/>
      <c r="J102" s="13"/>
    </row>
    <row r="103" spans="1:10" ht="24.6" x14ac:dyDescent="0.4">
      <c r="A103" s="10"/>
      <c r="F103" s="6"/>
      <c r="G103" s="12"/>
      <c r="H103" s="13"/>
      <c r="I103" s="13"/>
      <c r="J103" s="13"/>
    </row>
    <row r="104" spans="1:10" ht="24.6" x14ac:dyDescent="0.4">
      <c r="A104" s="10"/>
      <c r="F104" s="6"/>
      <c r="G104" s="12"/>
      <c r="H104" s="13"/>
      <c r="I104" s="13"/>
      <c r="J104" s="13"/>
    </row>
    <row r="105" spans="1:10" ht="24.6" x14ac:dyDescent="0.4">
      <c r="A105" s="10"/>
      <c r="F105" s="6"/>
      <c r="G105" s="12"/>
      <c r="H105" s="13"/>
      <c r="I105" s="13"/>
      <c r="J105" s="13"/>
    </row>
    <row r="106" spans="1:10" ht="24.6" x14ac:dyDescent="0.4">
      <c r="A106" s="10"/>
      <c r="F106" s="6"/>
      <c r="G106" s="12"/>
      <c r="H106" s="13"/>
      <c r="I106" s="13"/>
      <c r="J106" s="13"/>
    </row>
    <row r="107" spans="1:10" ht="24.6" x14ac:dyDescent="0.4">
      <c r="A107" s="10"/>
      <c r="F107" s="6"/>
      <c r="G107" s="12"/>
      <c r="H107" s="13"/>
      <c r="I107" s="13"/>
      <c r="J107" s="13"/>
    </row>
    <row r="108" spans="1:10" ht="24.6" x14ac:dyDescent="0.4">
      <c r="A108" s="10"/>
      <c r="F108" s="6"/>
      <c r="G108" s="12"/>
      <c r="H108" s="13"/>
      <c r="I108" s="13"/>
      <c r="J108" s="13"/>
    </row>
    <row r="109" spans="1:10" ht="24.6" x14ac:dyDescent="0.4">
      <c r="A109" s="10"/>
      <c r="F109" s="6"/>
      <c r="G109" s="12"/>
      <c r="H109" s="13"/>
      <c r="I109" s="13"/>
      <c r="J109" s="13"/>
    </row>
    <row r="110" spans="1:10" ht="24.6" x14ac:dyDescent="0.4">
      <c r="A110" s="10"/>
      <c r="F110" s="6"/>
      <c r="G110" s="12"/>
      <c r="H110" s="13"/>
      <c r="I110" s="13"/>
      <c r="J110" s="13"/>
    </row>
    <row r="111" spans="1:10" ht="24.6" x14ac:dyDescent="0.4">
      <c r="A111" s="10"/>
      <c r="F111" s="6"/>
      <c r="G111" s="12"/>
      <c r="H111" s="13"/>
      <c r="I111" s="13"/>
      <c r="J111" s="13"/>
    </row>
    <row r="112" spans="1:10" ht="24.6" x14ac:dyDescent="0.4">
      <c r="A112" s="10"/>
      <c r="F112" s="6"/>
      <c r="G112" s="12"/>
      <c r="H112" s="13"/>
      <c r="I112" s="13"/>
      <c r="J112" s="13"/>
    </row>
    <row r="113" spans="1:10" ht="24.6" x14ac:dyDescent="0.4">
      <c r="A113" s="10"/>
      <c r="F113" s="6"/>
      <c r="G113" s="12"/>
      <c r="H113" s="13"/>
      <c r="I113" s="13"/>
      <c r="J113" s="13"/>
    </row>
    <row r="114" spans="1:10" ht="24.6" x14ac:dyDescent="0.4">
      <c r="A114" s="10"/>
      <c r="F114" s="6"/>
      <c r="G114" s="12"/>
      <c r="H114" s="13"/>
      <c r="I114" s="13"/>
      <c r="J114" s="13"/>
    </row>
    <row r="115" spans="1:10" ht="24.6" x14ac:dyDescent="0.4">
      <c r="A115" s="10"/>
      <c r="F115" s="6"/>
      <c r="G115" s="12"/>
      <c r="H115" s="13"/>
      <c r="I115" s="13"/>
      <c r="J115" s="13"/>
    </row>
    <row r="116" spans="1:10" ht="24.6" x14ac:dyDescent="0.4">
      <c r="A116" s="10"/>
      <c r="F116" s="6"/>
      <c r="G116" s="12"/>
      <c r="H116" s="13"/>
      <c r="I116" s="13"/>
      <c r="J116" s="13"/>
    </row>
    <row r="117" spans="1:10" ht="24.6" x14ac:dyDescent="0.4">
      <c r="A117" s="10"/>
      <c r="F117" s="6"/>
      <c r="G117" s="12"/>
      <c r="H117" s="13"/>
      <c r="I117" s="13"/>
      <c r="J117" s="13"/>
    </row>
    <row r="118" spans="1:10" ht="24.6" x14ac:dyDescent="0.4">
      <c r="A118" s="10"/>
      <c r="F118" s="6"/>
      <c r="G118" s="12"/>
      <c r="H118" s="13"/>
      <c r="I118" s="13"/>
      <c r="J118" s="13"/>
    </row>
    <row r="119" spans="1:10" ht="24.6" x14ac:dyDescent="0.4">
      <c r="A119" s="10"/>
      <c r="F119" s="6"/>
      <c r="G119" s="12"/>
      <c r="H119" s="13"/>
      <c r="I119" s="13"/>
      <c r="J119" s="13"/>
    </row>
    <row r="120" spans="1:10" ht="24.6" x14ac:dyDescent="0.4">
      <c r="A120" s="10"/>
      <c r="F120" s="6"/>
      <c r="G120" s="12"/>
      <c r="H120" s="13"/>
      <c r="I120" s="13"/>
      <c r="J120" s="13"/>
    </row>
    <row r="121" spans="1:10" ht="24.6" x14ac:dyDescent="0.4">
      <c r="A121" s="10"/>
      <c r="F121" s="6"/>
      <c r="G121" s="12"/>
      <c r="H121" s="13"/>
      <c r="I121" s="13"/>
      <c r="J121" s="13"/>
    </row>
    <row r="122" spans="1:10" ht="24.6" x14ac:dyDescent="0.4">
      <c r="A122" s="10"/>
      <c r="F122" s="6"/>
      <c r="G122" s="12"/>
      <c r="H122" s="13"/>
      <c r="I122" s="13"/>
      <c r="J122" s="13"/>
    </row>
    <row r="123" spans="1:10" ht="24.6" x14ac:dyDescent="0.4">
      <c r="A123" s="10"/>
      <c r="F123" s="6"/>
      <c r="G123" s="12"/>
      <c r="H123" s="13"/>
      <c r="I123" s="13"/>
      <c r="J123" s="13"/>
    </row>
    <row r="124" spans="1:10" ht="24.6" x14ac:dyDescent="0.4">
      <c r="A124" s="10"/>
      <c r="F124" s="6"/>
      <c r="G124" s="12"/>
      <c r="H124" s="13"/>
      <c r="I124" s="13"/>
      <c r="J124" s="13"/>
    </row>
    <row r="125" spans="1:10" ht="24.6" x14ac:dyDescent="0.4">
      <c r="A125" s="10"/>
      <c r="F125" s="6"/>
      <c r="G125" s="12"/>
      <c r="H125" s="13"/>
      <c r="I125" s="13"/>
      <c r="J125" s="13"/>
    </row>
    <row r="126" spans="1:10" ht="24.6" x14ac:dyDescent="0.4">
      <c r="A126" s="10"/>
      <c r="F126" s="6"/>
      <c r="G126" s="12"/>
      <c r="H126" s="13"/>
      <c r="I126" s="13"/>
      <c r="J126" s="13"/>
    </row>
    <row r="127" spans="1:10" ht="24.6" x14ac:dyDescent="0.4">
      <c r="A127" s="10"/>
      <c r="F127" s="6"/>
      <c r="G127" s="12"/>
      <c r="H127" s="13"/>
      <c r="I127" s="13"/>
      <c r="J127" s="13"/>
    </row>
    <row r="128" spans="1:10" ht="24.6" x14ac:dyDescent="0.4">
      <c r="A128" s="10"/>
      <c r="F128" s="6"/>
      <c r="G128" s="12"/>
      <c r="H128" s="13"/>
      <c r="I128" s="13"/>
      <c r="J128" s="13"/>
    </row>
    <row r="129" spans="1:10" ht="24.6" x14ac:dyDescent="0.4">
      <c r="A129" s="10"/>
      <c r="F129" s="6"/>
      <c r="G129" s="12"/>
      <c r="H129" s="13"/>
      <c r="I129" s="13"/>
      <c r="J129" s="13"/>
    </row>
    <row r="130" spans="1:10" ht="24.6" x14ac:dyDescent="0.4">
      <c r="A130" s="10"/>
      <c r="F130" s="6"/>
      <c r="G130" s="12"/>
      <c r="H130" s="13"/>
      <c r="I130" s="13"/>
      <c r="J130" s="13"/>
    </row>
    <row r="131" spans="1:10" ht="24.6" x14ac:dyDescent="0.4">
      <c r="A131" s="10"/>
      <c r="F131" s="6"/>
      <c r="G131" s="12"/>
      <c r="H131" s="13"/>
      <c r="I131" s="13"/>
      <c r="J131" s="13"/>
    </row>
    <row r="132" spans="1:10" ht="24.6" x14ac:dyDescent="0.4">
      <c r="A132" s="10"/>
      <c r="F132" s="6"/>
      <c r="G132" s="12"/>
      <c r="H132" s="13"/>
      <c r="I132" s="13"/>
      <c r="J132" s="13"/>
    </row>
    <row r="133" spans="1:10" ht="24.6" x14ac:dyDescent="0.4">
      <c r="A133" s="10"/>
      <c r="F133" s="6"/>
      <c r="G133" s="12"/>
      <c r="H133" s="13"/>
      <c r="I133" s="13"/>
      <c r="J133" s="13"/>
    </row>
    <row r="134" spans="1:10" ht="24.6" x14ac:dyDescent="0.4">
      <c r="A134" s="10"/>
      <c r="F134" s="6"/>
      <c r="G134" s="12"/>
      <c r="H134" s="13"/>
      <c r="I134" s="13"/>
      <c r="J134" s="13"/>
    </row>
    <row r="135" spans="1:10" ht="24.6" x14ac:dyDescent="0.4">
      <c r="A135" s="10"/>
      <c r="F135" s="6"/>
      <c r="G135" s="12"/>
      <c r="H135" s="13"/>
      <c r="I135" s="13"/>
      <c r="J135" s="13"/>
    </row>
    <row r="136" spans="1:10" ht="24.6" x14ac:dyDescent="0.4">
      <c r="A136" s="10"/>
      <c r="F136" s="6"/>
      <c r="G136" s="12"/>
      <c r="H136" s="13"/>
      <c r="I136" s="13"/>
      <c r="J136" s="13"/>
    </row>
    <row r="137" spans="1:10" ht="24.6" x14ac:dyDescent="0.4">
      <c r="A137" s="10"/>
      <c r="F137" s="6"/>
      <c r="G137" s="12"/>
      <c r="H137" s="13"/>
      <c r="I137" s="13"/>
      <c r="J137" s="13"/>
    </row>
    <row r="138" spans="1:10" ht="24.6" x14ac:dyDescent="0.4">
      <c r="A138" s="10"/>
      <c r="F138" s="6"/>
      <c r="G138" s="12"/>
      <c r="H138" s="13"/>
      <c r="I138" s="13"/>
      <c r="J138" s="13"/>
    </row>
    <row r="139" spans="1:10" ht="24.6" x14ac:dyDescent="0.4">
      <c r="A139" s="10"/>
      <c r="F139" s="6"/>
      <c r="G139" s="12"/>
      <c r="H139" s="13"/>
      <c r="I139" s="13"/>
      <c r="J139" s="13"/>
    </row>
    <row r="140" spans="1:10" ht="24.6" x14ac:dyDescent="0.4">
      <c r="A140" s="10"/>
      <c r="F140" s="6"/>
      <c r="G140" s="12"/>
      <c r="H140" s="13"/>
      <c r="I140" s="13"/>
      <c r="J140" s="13"/>
    </row>
    <row r="141" spans="1:10" ht="24.6" x14ac:dyDescent="0.4">
      <c r="A141" s="10"/>
      <c r="F141" s="6"/>
      <c r="G141" s="12"/>
      <c r="H141" s="13"/>
      <c r="I141" s="13"/>
      <c r="J141" s="13"/>
    </row>
    <row r="142" spans="1:10" ht="24.6" x14ac:dyDescent="0.4">
      <c r="A142" s="10"/>
      <c r="F142" s="6"/>
      <c r="G142" s="12"/>
      <c r="H142" s="13"/>
      <c r="I142" s="13"/>
      <c r="J142" s="13"/>
    </row>
    <row r="143" spans="1:10" ht="24.6" x14ac:dyDescent="0.4">
      <c r="A143" s="10"/>
      <c r="F143" s="6"/>
      <c r="G143" s="12"/>
      <c r="H143" s="13"/>
      <c r="I143" s="13"/>
      <c r="J143" s="13"/>
    </row>
    <row r="144" spans="1:10" ht="24.6" x14ac:dyDescent="0.4">
      <c r="A144" s="10"/>
      <c r="F144" s="6"/>
      <c r="G144" s="12"/>
      <c r="H144" s="13"/>
      <c r="I144" s="13"/>
      <c r="J144" s="13"/>
    </row>
    <row r="145" spans="1:10" ht="24.6" x14ac:dyDescent="0.4">
      <c r="A145" s="10"/>
      <c r="F145" s="6"/>
      <c r="G145" s="12"/>
      <c r="H145" s="13"/>
      <c r="I145" s="13"/>
      <c r="J145" s="13"/>
    </row>
    <row r="146" spans="1:10" ht="24.6" x14ac:dyDescent="0.4">
      <c r="A146" s="10"/>
      <c r="F146" s="6"/>
      <c r="G146" s="12"/>
      <c r="H146" s="13"/>
      <c r="I146" s="13"/>
      <c r="J146" s="13"/>
    </row>
    <row r="147" spans="1:10" ht="24.6" x14ac:dyDescent="0.4">
      <c r="A147" s="10"/>
      <c r="F147" s="6"/>
      <c r="G147" s="12"/>
      <c r="H147" s="13"/>
      <c r="I147" s="13"/>
      <c r="J147" s="13"/>
    </row>
    <row r="148" spans="1:10" ht="24.6" x14ac:dyDescent="0.4">
      <c r="A148" s="10"/>
      <c r="F148" s="6"/>
      <c r="G148" s="12"/>
      <c r="H148" s="13"/>
      <c r="I148" s="13"/>
      <c r="J148" s="13"/>
    </row>
    <row r="149" spans="1:10" ht="24.6" hidden="1" x14ac:dyDescent="0.4">
      <c r="A149" s="10"/>
      <c r="F149" s="6"/>
      <c r="G149" s="12"/>
      <c r="H149" s="13"/>
      <c r="I149" s="13"/>
      <c r="J149" s="13"/>
    </row>
    <row r="150" spans="1:10" ht="24.6" hidden="1" x14ac:dyDescent="0.4">
      <c r="A150" s="10"/>
      <c r="F150" s="6"/>
      <c r="G150" s="12"/>
      <c r="H150" s="13"/>
      <c r="I150" s="13"/>
      <c r="J150" s="13"/>
    </row>
    <row r="151" spans="1:10" ht="24.6" hidden="1" x14ac:dyDescent="0.4">
      <c r="A151" s="10"/>
      <c r="F151" s="6"/>
      <c r="G151" s="12"/>
      <c r="H151" s="13"/>
      <c r="I151" s="13"/>
      <c r="J151" s="13"/>
    </row>
    <row r="152" spans="1:10" ht="24.6" hidden="1" x14ac:dyDescent="0.4">
      <c r="A152" s="10"/>
      <c r="F152" s="6"/>
      <c r="G152" s="12"/>
      <c r="H152" s="13"/>
      <c r="I152" s="13"/>
      <c r="J152" s="13"/>
    </row>
    <row r="153" spans="1:10" ht="24.6" hidden="1" x14ac:dyDescent="0.4">
      <c r="A153" s="10"/>
      <c r="F153" s="6"/>
      <c r="G153" s="12"/>
      <c r="H153" s="13"/>
      <c r="I153" s="13"/>
      <c r="J153" s="13"/>
    </row>
    <row r="154" spans="1:10" ht="24.6" hidden="1" x14ac:dyDescent="0.4">
      <c r="A154" s="10"/>
      <c r="F154" s="6"/>
      <c r="G154" s="12"/>
      <c r="H154" s="13"/>
      <c r="I154" s="13"/>
      <c r="J154" s="13"/>
    </row>
    <row r="155" spans="1:10" ht="24.6" hidden="1" x14ac:dyDescent="0.4">
      <c r="A155" s="10"/>
      <c r="F155" s="6"/>
      <c r="G155" s="12"/>
      <c r="H155" s="13"/>
      <c r="I155" s="13"/>
      <c r="J155" s="13"/>
    </row>
    <row r="156" spans="1:10" ht="24.6" hidden="1" x14ac:dyDescent="0.4">
      <c r="A156" s="10"/>
      <c r="F156" s="6"/>
      <c r="G156" s="12"/>
      <c r="H156" s="13"/>
      <c r="I156" s="13"/>
      <c r="J156" s="13"/>
    </row>
    <row r="157" spans="1:10" ht="24.6" hidden="1" x14ac:dyDescent="0.4">
      <c r="A157" s="10"/>
      <c r="F157" s="6"/>
      <c r="G157" s="12"/>
      <c r="H157" s="13"/>
      <c r="I157" s="13"/>
      <c r="J157" s="13"/>
    </row>
    <row r="158" spans="1:10" ht="24.6" hidden="1" x14ac:dyDescent="0.4">
      <c r="A158" s="10"/>
      <c r="F158" s="6"/>
      <c r="G158" s="12"/>
      <c r="H158" s="13"/>
      <c r="I158" s="13"/>
      <c r="J158" s="13"/>
    </row>
    <row r="159" spans="1:10" ht="24.6" hidden="1" x14ac:dyDescent="0.4">
      <c r="A159" s="10"/>
      <c r="F159" s="6"/>
      <c r="G159" s="12"/>
      <c r="H159" s="13"/>
      <c r="I159" s="13"/>
      <c r="J159" s="13"/>
    </row>
    <row r="160" spans="1:10" ht="24.6" hidden="1" x14ac:dyDescent="0.4">
      <c r="A160" s="10"/>
      <c r="F160" s="6"/>
      <c r="G160" s="12"/>
      <c r="H160" s="13"/>
      <c r="I160" s="13"/>
      <c r="J160" s="13"/>
    </row>
    <row r="161" spans="1:10" ht="24.6" hidden="1" x14ac:dyDescent="0.4">
      <c r="A161" s="10"/>
      <c r="F161" s="6"/>
      <c r="G161" s="12"/>
      <c r="H161" s="13"/>
      <c r="I161" s="13"/>
      <c r="J161" s="13"/>
    </row>
    <row r="162" spans="1:10" ht="24.6" hidden="1" x14ac:dyDescent="0.4">
      <c r="A162" s="10"/>
      <c r="F162" s="6"/>
      <c r="G162" s="12"/>
      <c r="H162" s="13"/>
      <c r="I162" s="13"/>
      <c r="J162" s="13"/>
    </row>
    <row r="163" spans="1:10" ht="24.6" hidden="1" x14ac:dyDescent="0.4">
      <c r="A163" s="10"/>
      <c r="F163" s="6"/>
      <c r="G163" s="12"/>
      <c r="H163" s="13"/>
      <c r="I163" s="13"/>
      <c r="J163" s="13"/>
    </row>
    <row r="164" spans="1:10" ht="24.6" hidden="1" x14ac:dyDescent="0.4">
      <c r="A164" s="10"/>
      <c r="F164" s="6"/>
      <c r="G164" s="12"/>
      <c r="H164" s="13"/>
      <c r="I164" s="13"/>
      <c r="J164" s="13"/>
    </row>
    <row r="165" spans="1:10" ht="24.6" hidden="1" x14ac:dyDescent="0.4">
      <c r="A165" s="10"/>
      <c r="F165" s="6"/>
      <c r="G165" s="12"/>
      <c r="H165" s="13"/>
      <c r="I165" s="13"/>
      <c r="J165" s="13"/>
    </row>
    <row r="166" spans="1:10" ht="24.6" hidden="1" x14ac:dyDescent="0.4">
      <c r="A166" s="10"/>
      <c r="F166" s="6"/>
      <c r="G166" s="12"/>
      <c r="H166" s="13"/>
      <c r="I166" s="13"/>
      <c r="J166" s="13"/>
    </row>
    <row r="167" spans="1:10" ht="24.6" hidden="1" x14ac:dyDescent="0.4">
      <c r="A167" s="10"/>
      <c r="F167" s="6"/>
      <c r="G167" s="12"/>
      <c r="H167" s="13"/>
      <c r="I167" s="13"/>
      <c r="J167" s="13"/>
    </row>
    <row r="168" spans="1:10" ht="24.6" hidden="1" x14ac:dyDescent="0.4">
      <c r="A168" s="10"/>
      <c r="F168" s="6"/>
      <c r="G168" s="12"/>
      <c r="H168" s="13"/>
      <c r="I168" s="13"/>
      <c r="J168" s="13"/>
    </row>
    <row r="169" spans="1:10" ht="24.6" hidden="1" x14ac:dyDescent="0.4">
      <c r="A169" s="10"/>
      <c r="F169" s="6"/>
      <c r="G169" s="12"/>
      <c r="H169" s="13"/>
      <c r="I169" s="13"/>
      <c r="J169" s="13"/>
    </row>
    <row r="170" spans="1:10" ht="24.6" hidden="1" x14ac:dyDescent="0.4">
      <c r="A170" s="10"/>
      <c r="F170" s="6"/>
      <c r="G170" s="12"/>
      <c r="H170" s="13"/>
      <c r="I170" s="13"/>
      <c r="J170" s="13"/>
    </row>
    <row r="171" spans="1:10" ht="24.6" hidden="1" x14ac:dyDescent="0.4">
      <c r="A171" s="10"/>
      <c r="F171" s="6"/>
      <c r="G171" s="12"/>
      <c r="H171" s="13"/>
      <c r="I171" s="13"/>
      <c r="J171" s="13"/>
    </row>
    <row r="172" spans="1:10" ht="24.6" hidden="1" x14ac:dyDescent="0.4">
      <c r="A172" s="10"/>
      <c r="F172" s="6"/>
      <c r="G172" s="12"/>
      <c r="H172" s="13"/>
      <c r="I172" s="13"/>
      <c r="J172" s="13"/>
    </row>
    <row r="173" spans="1:10" ht="24.6" hidden="1" x14ac:dyDescent="0.4">
      <c r="A173" s="10"/>
      <c r="F173" s="6"/>
      <c r="G173" s="12"/>
      <c r="H173" s="13"/>
      <c r="I173" s="13"/>
      <c r="J173" s="13"/>
    </row>
    <row r="174" spans="1:10" ht="24.6" hidden="1" x14ac:dyDescent="0.4">
      <c r="A174" s="10"/>
      <c r="F174" s="6"/>
      <c r="G174" s="12"/>
      <c r="H174" s="13"/>
      <c r="I174" s="13"/>
      <c r="J174" s="13"/>
    </row>
    <row r="175" spans="1:10" ht="24.6" hidden="1" x14ac:dyDescent="0.4">
      <c r="A175" s="10"/>
      <c r="F175" s="6"/>
      <c r="G175" s="12"/>
      <c r="H175" s="13"/>
      <c r="I175" s="13"/>
      <c r="J175" s="13"/>
    </row>
    <row r="176" spans="1:10" ht="24.6" hidden="1" x14ac:dyDescent="0.4">
      <c r="A176" s="10"/>
      <c r="F176" s="6"/>
      <c r="G176" s="12"/>
      <c r="H176" s="13"/>
      <c r="I176" s="13"/>
      <c r="J176" s="13"/>
    </row>
    <row r="177" spans="1:10" ht="24.6" hidden="1" x14ac:dyDescent="0.4">
      <c r="A177" s="10"/>
      <c r="F177" s="6"/>
      <c r="G177" s="12"/>
      <c r="H177" s="13"/>
      <c r="I177" s="13"/>
      <c r="J177" s="13"/>
    </row>
    <row r="178" spans="1:10" ht="24.6" hidden="1" x14ac:dyDescent="0.4">
      <c r="A178" s="10"/>
      <c r="F178" s="6"/>
      <c r="G178" s="12"/>
      <c r="H178" s="13"/>
      <c r="I178" s="13"/>
      <c r="J178" s="13"/>
    </row>
    <row r="179" spans="1:10" ht="24.6" hidden="1" x14ac:dyDescent="0.4">
      <c r="A179" s="10"/>
      <c r="F179" s="6"/>
      <c r="G179" s="12"/>
      <c r="H179" s="13"/>
      <c r="I179" s="13"/>
      <c r="J179" s="13"/>
    </row>
    <row r="180" spans="1:10" ht="24.6" hidden="1" x14ac:dyDescent="0.4">
      <c r="A180" s="10"/>
      <c r="F180" s="6"/>
      <c r="G180" s="12"/>
      <c r="H180" s="13"/>
      <c r="I180" s="13"/>
      <c r="J180" s="13"/>
    </row>
    <row r="181" spans="1:10" ht="24.6" hidden="1" x14ac:dyDescent="0.4">
      <c r="A181" s="10"/>
      <c r="F181" s="6"/>
      <c r="G181" s="12"/>
      <c r="H181" s="13"/>
      <c r="I181" s="13"/>
      <c r="J181" s="13"/>
    </row>
    <row r="182" spans="1:10" ht="24.6" hidden="1" x14ac:dyDescent="0.4">
      <c r="A182" s="10"/>
      <c r="F182" s="6"/>
      <c r="G182" s="12"/>
      <c r="H182" s="13"/>
      <c r="I182" s="13"/>
      <c r="J182" s="13"/>
    </row>
    <row r="183" spans="1:10" ht="24.6" hidden="1" x14ac:dyDescent="0.4">
      <c r="A183" s="10"/>
      <c r="F183" s="6"/>
      <c r="G183" s="12"/>
      <c r="H183" s="13"/>
      <c r="I183" s="13"/>
      <c r="J183" s="13"/>
    </row>
    <row r="184" spans="1:10" ht="24.6" hidden="1" x14ac:dyDescent="0.4">
      <c r="A184" s="10"/>
      <c r="F184" s="6"/>
      <c r="G184" s="12"/>
      <c r="H184" s="13"/>
      <c r="I184" s="13"/>
      <c r="J184" s="13"/>
    </row>
    <row r="185" spans="1:10" ht="24.6" hidden="1" x14ac:dyDescent="0.4">
      <c r="A185" s="10"/>
      <c r="F185" s="6"/>
      <c r="G185" s="12"/>
      <c r="H185" s="13"/>
      <c r="I185" s="13"/>
      <c r="J185" s="13"/>
    </row>
    <row r="186" spans="1:10" ht="24.6" hidden="1" x14ac:dyDescent="0.4">
      <c r="A186" s="10"/>
      <c r="F186" s="6"/>
      <c r="G186" s="12"/>
      <c r="H186" s="13"/>
      <c r="I186" s="13"/>
      <c r="J186" s="13"/>
    </row>
    <row r="187" spans="1:10" ht="24.6" hidden="1" x14ac:dyDescent="0.4">
      <c r="A187" s="10"/>
      <c r="F187" s="6"/>
      <c r="G187" s="12"/>
      <c r="H187" s="13"/>
      <c r="I187" s="13"/>
      <c r="J187" s="13"/>
    </row>
    <row r="188" spans="1:10" ht="24.6" hidden="1" x14ac:dyDescent="0.4">
      <c r="A188" s="10"/>
      <c r="F188" s="6"/>
      <c r="G188" s="12"/>
      <c r="H188" s="13"/>
      <c r="I188" s="13"/>
      <c r="J188" s="13"/>
    </row>
    <row r="189" spans="1:10" ht="24.6" hidden="1" x14ac:dyDescent="0.4">
      <c r="A189" s="10"/>
      <c r="F189" s="6"/>
      <c r="G189" s="12"/>
      <c r="H189" s="13"/>
      <c r="I189" s="13"/>
      <c r="J189" s="13"/>
    </row>
    <row r="190" spans="1:10" ht="24.6" hidden="1" x14ac:dyDescent="0.4">
      <c r="A190" s="10"/>
      <c r="F190" s="6"/>
      <c r="G190" s="12"/>
      <c r="H190" s="13"/>
      <c r="I190" s="13"/>
      <c r="J190" s="13"/>
    </row>
    <row r="191" spans="1:10" ht="24.6" hidden="1" x14ac:dyDescent="0.4">
      <c r="A191" s="10"/>
      <c r="F191" s="6"/>
      <c r="G191" s="12"/>
      <c r="H191" s="13"/>
      <c r="I191" s="13"/>
      <c r="J191" s="13"/>
    </row>
    <row r="192" spans="1:10" ht="24.6" hidden="1" x14ac:dyDescent="0.4">
      <c r="A192" s="10"/>
      <c r="F192" s="6"/>
      <c r="G192" s="12"/>
      <c r="H192" s="13"/>
      <c r="I192" s="13"/>
      <c r="J192" s="13"/>
    </row>
    <row r="193" spans="1:10" ht="24.6" hidden="1" x14ac:dyDescent="0.4">
      <c r="A193" s="10"/>
      <c r="F193" s="6"/>
      <c r="G193" s="12"/>
      <c r="H193" s="13"/>
      <c r="I193" s="13"/>
      <c r="J193" s="13"/>
    </row>
    <row r="194" spans="1:10" ht="24.6" hidden="1" x14ac:dyDescent="0.4">
      <c r="A194" s="10"/>
      <c r="F194" s="6"/>
      <c r="G194" s="12"/>
      <c r="H194" s="13"/>
      <c r="I194" s="13"/>
      <c r="J194" s="13"/>
    </row>
    <row r="195" spans="1:10" ht="24.6" hidden="1" x14ac:dyDescent="0.4">
      <c r="A195" s="10"/>
      <c r="F195" s="6"/>
      <c r="G195" s="12"/>
      <c r="H195" s="13"/>
      <c r="I195" s="13"/>
      <c r="J195" s="13"/>
    </row>
    <row r="196" spans="1:10" ht="24.6" hidden="1" x14ac:dyDescent="0.4">
      <c r="A196" s="10"/>
      <c r="F196" s="6"/>
      <c r="G196" s="12"/>
      <c r="H196" s="13"/>
      <c r="I196" s="13"/>
      <c r="J196" s="13"/>
    </row>
    <row r="197" spans="1:10" ht="24.6" hidden="1" x14ac:dyDescent="0.4">
      <c r="A197" s="10"/>
      <c r="F197" s="6"/>
      <c r="G197" s="12"/>
      <c r="H197" s="13"/>
      <c r="I197" s="13"/>
      <c r="J197" s="13"/>
    </row>
    <row r="198" spans="1:10" ht="24.6" hidden="1" x14ac:dyDescent="0.4">
      <c r="A198" s="10"/>
      <c r="F198" s="6"/>
      <c r="G198" s="12"/>
      <c r="H198" s="13"/>
      <c r="I198" s="13"/>
      <c r="J198" s="13"/>
    </row>
    <row r="199" spans="1:10" ht="24.6" hidden="1" x14ac:dyDescent="0.4">
      <c r="A199" s="10"/>
      <c r="F199" s="6"/>
      <c r="G199" s="12"/>
      <c r="H199" s="13"/>
      <c r="I199" s="13"/>
      <c r="J199" s="13"/>
    </row>
    <row r="200" spans="1:10" ht="24.6" hidden="1" x14ac:dyDescent="0.4">
      <c r="A200" s="10"/>
      <c r="F200" s="6"/>
      <c r="G200" s="12"/>
      <c r="H200" s="13"/>
      <c r="I200" s="13"/>
      <c r="J200" s="13"/>
    </row>
    <row r="201" spans="1:10" ht="24.6" hidden="1" x14ac:dyDescent="0.4">
      <c r="A201" s="10"/>
      <c r="F201" s="6"/>
      <c r="G201" s="12"/>
      <c r="H201" s="13"/>
      <c r="I201" s="13"/>
      <c r="J201" s="13"/>
    </row>
    <row r="202" spans="1:10" ht="24.6" hidden="1" x14ac:dyDescent="0.4">
      <c r="A202" s="10"/>
      <c r="F202" s="6"/>
      <c r="G202" s="12"/>
      <c r="H202" s="13"/>
      <c r="I202" s="13"/>
      <c r="J202" s="13"/>
    </row>
    <row r="203" spans="1:10" ht="24.6" hidden="1" x14ac:dyDescent="0.4">
      <c r="A203" s="10"/>
      <c r="F203" s="6"/>
      <c r="G203" s="12"/>
      <c r="H203" s="13"/>
      <c r="I203" s="13"/>
      <c r="J203" s="13"/>
    </row>
    <row r="204" spans="1:10" ht="24.6" hidden="1" x14ac:dyDescent="0.4">
      <c r="A204" s="10"/>
      <c r="F204" s="6"/>
      <c r="G204" s="12"/>
      <c r="H204" s="13"/>
      <c r="I204" s="13"/>
      <c r="J204" s="13"/>
    </row>
    <row r="205" spans="1:10" ht="24.6" hidden="1" x14ac:dyDescent="0.4">
      <c r="A205" s="10"/>
      <c r="F205" s="6"/>
      <c r="G205" s="12"/>
      <c r="H205" s="13"/>
      <c r="I205" s="13"/>
      <c r="J205" s="13"/>
    </row>
    <row r="206" spans="1:10" ht="24.6" hidden="1" x14ac:dyDescent="0.4">
      <c r="A206" s="10"/>
      <c r="F206" s="6"/>
      <c r="G206" s="12"/>
      <c r="H206" s="13"/>
      <c r="I206" s="13"/>
      <c r="J206" s="13"/>
    </row>
    <row r="207" spans="1:10" ht="24.6" hidden="1" x14ac:dyDescent="0.4">
      <c r="A207" s="10"/>
      <c r="F207" s="6"/>
      <c r="G207" s="12"/>
      <c r="H207" s="13"/>
      <c r="I207" s="13"/>
      <c r="J207" s="13"/>
    </row>
    <row r="208" spans="1:10" ht="24.6" hidden="1" x14ac:dyDescent="0.4">
      <c r="A208" s="10"/>
      <c r="F208" s="6"/>
      <c r="G208" s="12"/>
      <c r="H208" s="13"/>
      <c r="I208" s="13"/>
      <c r="J208" s="13"/>
    </row>
    <row r="209" spans="1:10" ht="24.6" hidden="1" x14ac:dyDescent="0.4">
      <c r="A209" s="10"/>
      <c r="F209" s="6"/>
      <c r="G209" s="12"/>
      <c r="H209" s="13"/>
      <c r="I209" s="13"/>
      <c r="J209" s="13"/>
    </row>
    <row r="210" spans="1:10" ht="24.6" hidden="1" x14ac:dyDescent="0.4">
      <c r="A210" s="10"/>
      <c r="F210" s="6"/>
      <c r="G210" s="12"/>
      <c r="H210" s="13"/>
      <c r="I210" s="13"/>
      <c r="J210" s="13"/>
    </row>
    <row r="211" spans="1:10" ht="24.6" hidden="1" x14ac:dyDescent="0.4">
      <c r="A211" s="10"/>
      <c r="F211" s="6"/>
      <c r="G211" s="12"/>
      <c r="H211" s="13"/>
      <c r="I211" s="13"/>
      <c r="J211" s="13"/>
    </row>
    <row r="212" spans="1:10" ht="24.6" hidden="1" x14ac:dyDescent="0.4">
      <c r="A212" s="10"/>
      <c r="F212" s="6"/>
      <c r="G212" s="12"/>
      <c r="H212" s="13"/>
      <c r="I212" s="13"/>
      <c r="J212" s="13"/>
    </row>
    <row r="213" spans="1:10" ht="24.6" hidden="1" x14ac:dyDescent="0.4">
      <c r="A213" s="10"/>
      <c r="F213" s="6"/>
      <c r="G213" s="12"/>
      <c r="H213" s="13"/>
      <c r="I213" s="13"/>
      <c r="J213" s="13"/>
    </row>
    <row r="214" spans="1:10" ht="24.6" hidden="1" x14ac:dyDescent="0.4">
      <c r="A214" s="10"/>
      <c r="F214" s="6"/>
      <c r="G214" s="12"/>
      <c r="H214" s="13"/>
      <c r="I214" s="13"/>
      <c r="J214" s="13"/>
    </row>
    <row r="215" spans="1:10" ht="24.6" hidden="1" x14ac:dyDescent="0.4">
      <c r="A215" s="10"/>
      <c r="F215" s="6"/>
      <c r="G215" s="12"/>
      <c r="H215" s="13"/>
      <c r="I215" s="13"/>
      <c r="J215" s="13"/>
    </row>
    <row r="216" spans="1:10" ht="24.6" hidden="1" x14ac:dyDescent="0.4">
      <c r="A216" s="10"/>
      <c r="F216" s="6"/>
      <c r="G216" s="12"/>
      <c r="H216" s="13"/>
      <c r="I216" s="13"/>
      <c r="J216" s="13"/>
    </row>
    <row r="217" spans="1:10" ht="24.6" hidden="1" x14ac:dyDescent="0.4">
      <c r="A217" s="10"/>
      <c r="F217" s="6"/>
      <c r="G217" s="12"/>
      <c r="H217" s="13"/>
      <c r="I217" s="13"/>
      <c r="J217" s="13"/>
    </row>
    <row r="218" spans="1:10" ht="24.6" hidden="1" x14ac:dyDescent="0.4">
      <c r="A218" s="10"/>
      <c r="F218" s="6"/>
      <c r="G218" s="12"/>
      <c r="H218" s="13"/>
      <c r="I218" s="13"/>
      <c r="J218" s="13"/>
    </row>
    <row r="219" spans="1:10" ht="24.6" hidden="1" x14ac:dyDescent="0.4">
      <c r="A219" s="10"/>
      <c r="F219" s="6"/>
      <c r="G219" s="12"/>
      <c r="H219" s="13"/>
      <c r="I219" s="13"/>
      <c r="J219" s="13"/>
    </row>
    <row r="220" spans="1:10" ht="24.6" hidden="1" x14ac:dyDescent="0.4">
      <c r="A220" s="10"/>
      <c r="F220" s="6"/>
      <c r="G220" s="12"/>
      <c r="H220" s="13"/>
      <c r="I220" s="13"/>
      <c r="J220" s="13"/>
    </row>
    <row r="221" spans="1:10" ht="24.6" hidden="1" x14ac:dyDescent="0.4">
      <c r="A221" s="10"/>
      <c r="F221" s="6"/>
      <c r="G221" s="12"/>
      <c r="H221" s="13"/>
      <c r="I221" s="13"/>
      <c r="J221" s="13"/>
    </row>
    <row r="222" spans="1:10" ht="24.6" hidden="1" x14ac:dyDescent="0.4">
      <c r="A222" s="10"/>
      <c r="F222" s="6"/>
      <c r="G222" s="12"/>
      <c r="H222" s="13"/>
      <c r="I222" s="13"/>
      <c r="J222" s="13"/>
    </row>
    <row r="223" spans="1:10" ht="24.6" hidden="1" x14ac:dyDescent="0.4">
      <c r="A223" s="10"/>
      <c r="F223" s="6"/>
      <c r="G223" s="12"/>
      <c r="H223" s="13"/>
      <c r="I223" s="13"/>
      <c r="J223" s="13"/>
    </row>
    <row r="224" spans="1:10" ht="24.6" hidden="1" x14ac:dyDescent="0.4">
      <c r="A224" s="10"/>
      <c r="F224" s="6"/>
      <c r="G224" s="12"/>
      <c r="H224" s="13"/>
      <c r="I224" s="13"/>
      <c r="J224" s="13"/>
    </row>
    <row r="225" spans="1:10" ht="24.6" hidden="1" x14ac:dyDescent="0.4">
      <c r="A225" s="10"/>
      <c r="F225" s="6"/>
      <c r="G225" s="12"/>
      <c r="H225" s="13"/>
      <c r="I225" s="13"/>
      <c r="J225" s="13"/>
    </row>
    <row r="226" spans="1:10" ht="24.6" hidden="1" x14ac:dyDescent="0.4">
      <c r="A226" s="10"/>
      <c r="F226" s="6"/>
      <c r="G226" s="12"/>
      <c r="H226" s="13"/>
      <c r="I226" s="13"/>
      <c r="J226" s="13"/>
    </row>
    <row r="227" spans="1:10" ht="24.6" hidden="1" x14ac:dyDescent="0.4">
      <c r="A227" s="10"/>
      <c r="F227" s="6"/>
      <c r="G227" s="12"/>
      <c r="H227" s="13"/>
      <c r="I227" s="13"/>
      <c r="J227" s="13"/>
    </row>
    <row r="228" spans="1:10" ht="24.6" hidden="1" x14ac:dyDescent="0.4">
      <c r="A228" s="10"/>
      <c r="F228" s="6"/>
      <c r="G228" s="12"/>
      <c r="H228" s="13"/>
      <c r="I228" s="13"/>
      <c r="J228" s="13"/>
    </row>
    <row r="229" spans="1:10" ht="24.6" hidden="1" x14ac:dyDescent="0.4">
      <c r="A229" s="10"/>
      <c r="F229" s="6"/>
      <c r="G229" s="12"/>
      <c r="H229" s="13"/>
      <c r="I229" s="13"/>
      <c r="J229" s="13"/>
    </row>
    <row r="230" spans="1:10" ht="24.6" hidden="1" x14ac:dyDescent="0.4">
      <c r="A230" s="10"/>
      <c r="F230" s="6"/>
      <c r="G230" s="12"/>
      <c r="H230" s="13"/>
      <c r="I230" s="13"/>
      <c r="J230" s="13"/>
    </row>
    <row r="231" spans="1:10" ht="24.6" hidden="1" x14ac:dyDescent="0.4">
      <c r="A231" s="10"/>
      <c r="F231" s="6"/>
      <c r="G231" s="12"/>
      <c r="H231" s="13"/>
      <c r="I231" s="13"/>
      <c r="J231" s="13"/>
    </row>
    <row r="232" spans="1:10" ht="24.6" hidden="1" x14ac:dyDescent="0.4">
      <c r="A232" s="10"/>
      <c r="F232" s="6"/>
      <c r="G232" s="12"/>
      <c r="H232" s="13"/>
      <c r="I232" s="13"/>
      <c r="J232" s="13"/>
    </row>
    <row r="233" spans="1:10" ht="24.6" hidden="1" x14ac:dyDescent="0.4">
      <c r="A233" s="10"/>
      <c r="F233" s="6"/>
      <c r="G233" s="12"/>
      <c r="H233" s="13"/>
      <c r="I233" s="13"/>
      <c r="J233" s="13"/>
    </row>
    <row r="234" spans="1:10" ht="24.6" hidden="1" x14ac:dyDescent="0.4">
      <c r="A234" s="10"/>
      <c r="F234" s="6"/>
      <c r="G234" s="12"/>
      <c r="H234" s="13"/>
      <c r="I234" s="13"/>
      <c r="J234" s="13"/>
    </row>
    <row r="235" spans="1:10" ht="24.6" hidden="1" x14ac:dyDescent="0.4">
      <c r="A235" s="10"/>
      <c r="F235" s="6"/>
      <c r="G235" s="12"/>
      <c r="H235" s="13"/>
      <c r="I235" s="13"/>
      <c r="J235" s="13"/>
    </row>
    <row r="236" spans="1:10" ht="24.6" hidden="1" x14ac:dyDescent="0.4">
      <c r="A236" s="10"/>
      <c r="F236" s="6"/>
      <c r="G236" s="12"/>
      <c r="H236" s="13"/>
      <c r="I236" s="13"/>
      <c r="J236" s="13"/>
    </row>
    <row r="237" spans="1:10" ht="24.6" hidden="1" x14ac:dyDescent="0.4">
      <c r="A237" s="10"/>
      <c r="F237" s="6"/>
      <c r="G237" s="12"/>
      <c r="H237" s="13"/>
      <c r="I237" s="13"/>
      <c r="J237" s="13"/>
    </row>
    <row r="238" spans="1:10" ht="24.6" hidden="1" x14ac:dyDescent="0.4">
      <c r="A238" s="10"/>
      <c r="F238" s="6"/>
      <c r="G238" s="12"/>
      <c r="H238" s="13"/>
      <c r="I238" s="13"/>
      <c r="J238" s="13"/>
    </row>
    <row r="239" spans="1:10" ht="24.6" hidden="1" x14ac:dyDescent="0.4">
      <c r="A239" s="10"/>
      <c r="F239" s="6"/>
      <c r="G239" s="12"/>
      <c r="H239" s="13"/>
      <c r="I239" s="13"/>
      <c r="J239" s="13"/>
    </row>
    <row r="240" spans="1:10" ht="24.6" hidden="1" x14ac:dyDescent="0.4">
      <c r="A240" s="10"/>
      <c r="F240" s="6"/>
      <c r="G240" s="12"/>
      <c r="H240" s="13"/>
      <c r="I240" s="13"/>
      <c r="J240" s="13"/>
    </row>
    <row r="241" spans="1:10" ht="24.6" hidden="1" x14ac:dyDescent="0.4">
      <c r="A241" s="10"/>
      <c r="F241" s="6"/>
      <c r="G241" s="12"/>
      <c r="H241" s="13"/>
      <c r="I241" s="13"/>
      <c r="J241" s="13"/>
    </row>
    <row r="242" spans="1:10" ht="24.6" hidden="1" x14ac:dyDescent="0.4">
      <c r="A242" s="10"/>
      <c r="F242" s="6"/>
      <c r="G242" s="12"/>
      <c r="H242" s="13"/>
      <c r="I242" s="13"/>
      <c r="J242" s="13"/>
    </row>
    <row r="243" spans="1:10" ht="24.6" hidden="1" x14ac:dyDescent="0.4">
      <c r="A243" s="10"/>
      <c r="F243" s="6"/>
      <c r="G243" s="12"/>
      <c r="H243" s="13"/>
      <c r="I243" s="13"/>
      <c r="J243" s="13"/>
    </row>
    <row r="244" spans="1:10" ht="24.6" hidden="1" x14ac:dyDescent="0.4">
      <c r="A244" s="10"/>
      <c r="F244" s="6"/>
      <c r="G244" s="12"/>
      <c r="H244" s="13"/>
      <c r="I244" s="13"/>
      <c r="J244" s="13"/>
    </row>
    <row r="245" spans="1:10" ht="24.6" hidden="1" x14ac:dyDescent="0.4">
      <c r="A245" s="10"/>
      <c r="F245" s="6"/>
      <c r="G245" s="12"/>
      <c r="H245" s="13"/>
      <c r="I245" s="13"/>
      <c r="J245" s="13"/>
    </row>
    <row r="246" spans="1:10" ht="24.6" hidden="1" x14ac:dyDescent="0.4">
      <c r="A246" s="10"/>
      <c r="F246" s="6"/>
      <c r="G246" s="12"/>
      <c r="H246" s="13"/>
      <c r="I246" s="13"/>
      <c r="J246" s="13"/>
    </row>
    <row r="247" spans="1:10" ht="24.6" hidden="1" x14ac:dyDescent="0.4">
      <c r="A247" s="10"/>
      <c r="F247" s="6"/>
      <c r="G247" s="12"/>
      <c r="H247" s="13"/>
      <c r="I247" s="13"/>
      <c r="J247" s="13"/>
    </row>
    <row r="248" spans="1:10" ht="24.6" hidden="1" x14ac:dyDescent="0.4">
      <c r="A248" s="10"/>
      <c r="F248" s="6"/>
      <c r="G248" s="12"/>
      <c r="H248" s="13"/>
      <c r="I248" s="13"/>
      <c r="J248" s="13"/>
    </row>
    <row r="249" spans="1:10" ht="24.6" hidden="1" x14ac:dyDescent="0.4">
      <c r="A249" s="10"/>
      <c r="F249" s="6"/>
      <c r="G249" s="12"/>
      <c r="H249" s="13"/>
      <c r="I249" s="13"/>
      <c r="J249" s="13"/>
    </row>
    <row r="250" spans="1:10" x14ac:dyDescent="0.25"/>
    <row r="251" spans="1:10" x14ac:dyDescent="0.25"/>
  </sheetData>
  <autoFilter ref="A1:J58" xr:uid="{21657287-028B-4515-8DA7-8230EF1B7018}"/>
  <sortState xmlns:xlrd2="http://schemas.microsoft.com/office/spreadsheetml/2017/richdata2" ref="A2:G249">
    <sortCondition descending="1" ref="F53:F249"/>
  </sortState>
  <phoneticPr fontId="1" type="noConversion"/>
  <conditionalFormatting sqref="G2:G249">
    <cfRule type="cellIs" dxfId="11" priority="3" operator="equal">
      <formula>"C"</formula>
    </cfRule>
    <cfRule type="cellIs" dxfId="10" priority="4" operator="equal">
      <formula>"B"</formula>
    </cfRule>
    <cfRule type="cellIs" dxfId="9" priority="5" operator="equal">
      <formula>"A"</formula>
    </cfRule>
    <cfRule type="cellIs" dxfId="8" priority="6" operator="equal">
      <formula>"S"</formula>
    </cfRule>
  </conditionalFormatting>
  <conditionalFormatting sqref="I2:I249">
    <cfRule type="notContainsBlanks" dxfId="7" priority="1">
      <formula>LEN(TRIM(I2))&gt;0</formula>
    </cfRule>
  </conditionalFormatting>
  <conditionalFormatting sqref="J2:J249">
    <cfRule type="containsText" dxfId="6" priority="2" operator="containsText" text="生日快乐">
      <formula>NOT(ISERROR(SEARCH("生日快乐",J2)))</formula>
    </cfRule>
  </conditionalFormatting>
  <dataValidations count="2">
    <dataValidation type="decimal" allowBlank="1" showInputMessage="1" showErrorMessage="1" sqref="F2:F249" xr:uid="{F1E15F6B-B8F4-4C05-84EF-2A0C625CA22E}">
      <formula1>6</formula1>
      <formula2>10</formula2>
    </dataValidation>
    <dataValidation type="list" allowBlank="1" showInputMessage="1" showErrorMessage="1" sqref="G2:G249" xr:uid="{48E04B0E-B8B9-4A50-9569-824BEEC55BDE}">
      <formula1>"S,A,B,C"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79ED-890A-413A-B3C3-74A8E5D1528F}">
  <dimension ref="A1:J100"/>
  <sheetViews>
    <sheetView zoomScale="85" zoomScaleNormal="85" workbookViewId="0">
      <pane ySplit="1" topLeftCell="A28" activePane="bottomLeft" state="frozen"/>
      <selection pane="bottomLeft" activeCell="F10" sqref="F10"/>
    </sheetView>
  </sheetViews>
  <sheetFormatPr defaultColWidth="0" defaultRowHeight="13.8" zeroHeight="1" x14ac:dyDescent="0.25"/>
  <cols>
    <col min="1" max="1" width="14.109375" bestFit="1" customWidth="1"/>
    <col min="2" max="2" width="44.33203125" bestFit="1" customWidth="1"/>
    <col min="3" max="3" width="110.6640625" customWidth="1"/>
    <col min="4" max="4" width="23.5546875" bestFit="1" customWidth="1"/>
    <col min="5" max="5" width="35.88671875" bestFit="1" customWidth="1"/>
    <col min="6" max="6" width="21.44140625" bestFit="1" customWidth="1"/>
    <col min="7" max="8" width="14.109375" bestFit="1" customWidth="1"/>
    <col min="9" max="9" width="14.21875" bestFit="1" customWidth="1"/>
    <col min="10" max="10" width="14.109375" bestFit="1" customWidth="1"/>
    <col min="11" max="16384" width="8.88671875" hidden="1"/>
  </cols>
  <sheetData>
    <row r="1" spans="1:10" ht="25.8" x14ac:dyDescent="0.25">
      <c r="A1" s="8" t="s">
        <v>2</v>
      </c>
      <c r="B1" s="8" t="s">
        <v>19</v>
      </c>
      <c r="C1" s="8" t="s">
        <v>0</v>
      </c>
      <c r="D1" s="9" t="s">
        <v>3</v>
      </c>
      <c r="E1" s="8" t="s">
        <v>15</v>
      </c>
      <c r="F1" s="8" t="s">
        <v>14</v>
      </c>
      <c r="G1" s="8" t="s">
        <v>1</v>
      </c>
      <c r="H1" s="8" t="s">
        <v>16</v>
      </c>
      <c r="I1" s="8" t="s">
        <v>18</v>
      </c>
      <c r="J1" s="8" t="s">
        <v>17</v>
      </c>
    </row>
    <row r="2" spans="1:10" ht="24.6" x14ac:dyDescent="0.4">
      <c r="A2" s="10">
        <v>1</v>
      </c>
      <c r="B2" s="6" t="s">
        <v>172</v>
      </c>
      <c r="C2" s="6" t="s">
        <v>173</v>
      </c>
      <c r="D2" s="7">
        <v>46032</v>
      </c>
      <c r="E2" s="11" t="s">
        <v>12</v>
      </c>
      <c r="F2" s="6">
        <v>9.9</v>
      </c>
      <c r="G2" s="12" t="str">
        <f>IF(AND(F2&lt;=10, F2&gt;=9), "S", IF(F2&gt;=8, "A", IF(F2&gt;=7, "B", "C")))</f>
        <v>S</v>
      </c>
      <c r="H2" s="13">
        <f ca="1">YEAR(TODAY())-YEAR(D2)</f>
        <v>0</v>
      </c>
      <c r="I2" s="13" t="str">
        <f ca="1">IF(MOD(H2,10)=0,H2&amp;"周岁快乐","")</f>
        <v>0周岁快乐</v>
      </c>
      <c r="J2" s="13" t="str">
        <f ca="1">IF(AND(MONTH(D2)=MONTH(TODAY()),DAY(D2)=DAY(TODAY())),"生日快乐","")</f>
        <v/>
      </c>
    </row>
    <row r="3" spans="1:10" ht="24.6" x14ac:dyDescent="0.4">
      <c r="A3" s="10">
        <v>2</v>
      </c>
      <c r="B3" s="6" t="s">
        <v>174</v>
      </c>
      <c r="C3" s="6" t="s">
        <v>175</v>
      </c>
      <c r="D3" s="7">
        <v>46048</v>
      </c>
      <c r="E3" s="11" t="s">
        <v>13</v>
      </c>
      <c r="F3" s="6">
        <v>9.9</v>
      </c>
      <c r="G3" s="12" t="str">
        <f>IF(AND(F3&lt;=10, F3&gt;=9), "S", IF(F3&gt;=8, "A", IF(F3&gt;=7, "B", "C")))</f>
        <v>S</v>
      </c>
      <c r="H3" s="13">
        <f ca="1">YEAR(TODAY())-YEAR(D3)</f>
        <v>0</v>
      </c>
      <c r="I3" s="13" t="str">
        <f ca="1">IF(MOD(H3,10)=0,H3&amp;"周岁快乐","")</f>
        <v>0周岁快乐</v>
      </c>
      <c r="J3" s="13" t="str">
        <f ca="1">IF(AND(MONTH(D3)=MONTH(TODAY()),DAY(D3)=DAY(TODAY())),"生日快乐","")</f>
        <v/>
      </c>
    </row>
    <row r="4" spans="1:10" ht="24.6" x14ac:dyDescent="0.4">
      <c r="A4" s="10">
        <v>3</v>
      </c>
      <c r="B4" s="6" t="s">
        <v>176</v>
      </c>
      <c r="C4" s="6" t="s">
        <v>177</v>
      </c>
      <c r="D4" s="7">
        <v>46051</v>
      </c>
      <c r="E4" s="11" t="s">
        <v>13</v>
      </c>
      <c r="F4" s="6">
        <v>9.9</v>
      </c>
      <c r="G4" s="12" t="str">
        <f>IF(AND(F4&lt;=10, F4&gt;=9), "S", IF(F4&gt;=8, "A", IF(F4&gt;=7, "B", "C")))</f>
        <v>S</v>
      </c>
      <c r="H4" s="13">
        <f ca="1">YEAR(TODAY())-YEAR(D4)</f>
        <v>0</v>
      </c>
      <c r="I4" s="13" t="str">
        <f ca="1">IF(MOD(H4,10)=0,H4&amp;"周岁快乐","")</f>
        <v>0周岁快乐</v>
      </c>
      <c r="J4" s="13" t="str">
        <f ca="1">IF(AND(MONTH(D4)=MONTH(TODAY()),DAY(D4)=DAY(TODAY())),"生日快乐","")</f>
        <v/>
      </c>
    </row>
    <row r="5" spans="1:10" ht="24.6" x14ac:dyDescent="0.4">
      <c r="A5" s="10">
        <v>4</v>
      </c>
      <c r="B5" s="6" t="s">
        <v>178</v>
      </c>
      <c r="C5" s="6" t="s">
        <v>214</v>
      </c>
      <c r="D5" s="7">
        <v>46053</v>
      </c>
      <c r="E5" s="11" t="s">
        <v>13</v>
      </c>
      <c r="F5" s="6">
        <v>9.9</v>
      </c>
      <c r="G5" s="12" t="str">
        <f>IF(AND(F5&lt;=10, F5&gt;=9), "S", IF(F5&gt;=8, "A", IF(F5&gt;=7, "B", "C")))</f>
        <v>S</v>
      </c>
      <c r="H5" s="13">
        <f ca="1">YEAR(TODAY())-YEAR(D5)</f>
        <v>0</v>
      </c>
      <c r="I5" s="13" t="str">
        <f ca="1">IF(MOD(H5,10)=0,H5&amp;"周岁快乐","")</f>
        <v>0周岁快乐</v>
      </c>
      <c r="J5" s="13" t="str">
        <f ca="1">IF(AND(MONTH(D5)=MONTH(TODAY()),DAY(D5)=DAY(TODAY())),"生日快乐","")</f>
        <v/>
      </c>
    </row>
    <row r="6" spans="1:10" ht="24.6" x14ac:dyDescent="0.4">
      <c r="A6" s="10">
        <v>5</v>
      </c>
      <c r="B6" s="6" t="s">
        <v>179</v>
      </c>
      <c r="C6" s="6" t="s">
        <v>215</v>
      </c>
      <c r="D6" s="7">
        <v>45896</v>
      </c>
      <c r="E6" s="11" t="s">
        <v>13</v>
      </c>
      <c r="F6" s="6">
        <v>9.9</v>
      </c>
      <c r="G6" s="12" t="str">
        <f>IF(AND(F6&lt;=10, F6&gt;=9), "S", IF(F6&gt;=8, "A", IF(F6&gt;=7, "B", "C")))</f>
        <v>S</v>
      </c>
      <c r="H6" s="13">
        <f ca="1">YEAR(TODAY())-YEAR(D6)</f>
        <v>1</v>
      </c>
      <c r="I6" s="13" t="str">
        <f ca="1">IF(MOD(H6,10)=0,H6&amp;"周岁快乐","")</f>
        <v/>
      </c>
      <c r="J6" s="13" t="str">
        <f ca="1">IF(AND(MONTH(D6)=MONTH(TODAY()),DAY(D6)=DAY(TODAY())),"生日快乐","")</f>
        <v/>
      </c>
    </row>
    <row r="7" spans="1:10" ht="24.6" x14ac:dyDescent="0.4">
      <c r="A7" s="10">
        <v>6</v>
      </c>
      <c r="B7" s="6" t="s">
        <v>210</v>
      </c>
      <c r="C7" s="6" t="s">
        <v>211</v>
      </c>
      <c r="D7" s="7">
        <v>46105</v>
      </c>
      <c r="E7" s="11" t="s">
        <v>13</v>
      </c>
      <c r="F7" s="6">
        <v>9.8000000000000007</v>
      </c>
      <c r="G7" s="12" t="str">
        <f>IF(AND(F7&lt;=10, F7&gt;=9), "S", IF(F7&gt;=8, "A", IF(F7&gt;=7, "B", "C")))</f>
        <v>S</v>
      </c>
      <c r="H7" s="13">
        <f ca="1">YEAR(TODAY())-YEAR(D7)</f>
        <v>0</v>
      </c>
      <c r="I7" s="13" t="str">
        <f ca="1">IF(MOD(H7,10)=0,H7&amp;"周岁快乐","")</f>
        <v>0周岁快乐</v>
      </c>
      <c r="J7" s="13" t="str">
        <f ca="1">IF(AND(MONTH(D7)=MONTH(TODAY()),DAY(D7)=DAY(TODAY())),"生日快乐","")</f>
        <v/>
      </c>
    </row>
    <row r="8" spans="1:10" ht="24.6" x14ac:dyDescent="0.4">
      <c r="A8" s="10">
        <v>7</v>
      </c>
      <c r="B8" s="6" t="s">
        <v>256</v>
      </c>
      <c r="C8" s="6" t="s">
        <v>257</v>
      </c>
      <c r="D8" s="7">
        <v>46191</v>
      </c>
      <c r="E8" s="11" t="s">
        <v>13</v>
      </c>
      <c r="F8" s="6">
        <v>9.8000000000000007</v>
      </c>
      <c r="G8" s="12" t="str">
        <f>IF(AND(F8&lt;=10, F8&gt;=9), "S", IF(F8&gt;=8, "A", IF(F8&gt;=7, "B", "C")))</f>
        <v>S</v>
      </c>
      <c r="H8" s="13">
        <f ca="1">YEAR(TODAY())-YEAR(D8)</f>
        <v>0</v>
      </c>
      <c r="I8" s="13" t="str">
        <f ca="1">IF(MOD(H8,10)=0,H8&amp;"周岁快乐","")</f>
        <v>0周岁快乐</v>
      </c>
      <c r="J8" s="13" t="str">
        <f ca="1">IF(AND(MONTH(D8)=MONTH(TODAY()),DAY(D8)=DAY(TODAY())),"生日快乐","")</f>
        <v/>
      </c>
    </row>
    <row r="9" spans="1:10" ht="24.6" x14ac:dyDescent="0.4">
      <c r="A9" s="10">
        <v>8</v>
      </c>
      <c r="B9" s="6" t="s">
        <v>204</v>
      </c>
      <c r="C9" s="6" t="s">
        <v>205</v>
      </c>
      <c r="D9" s="7">
        <v>46094</v>
      </c>
      <c r="E9" s="11" t="s">
        <v>13</v>
      </c>
      <c r="F9" s="6">
        <v>9.6999999999999993</v>
      </c>
      <c r="G9" s="12" t="str">
        <f>IF(AND(F9&lt;=10, F9&gt;=9), "S", IF(F9&gt;=8, "A", IF(F9&gt;=7, "B", "C")))</f>
        <v>S</v>
      </c>
      <c r="H9" s="13">
        <f ca="1">YEAR(TODAY())-YEAR(D9)</f>
        <v>0</v>
      </c>
      <c r="I9" s="13" t="str">
        <f ca="1">IF(MOD(H9,10)=0,H9&amp;"周岁快乐","")</f>
        <v>0周岁快乐</v>
      </c>
      <c r="J9" s="13" t="str">
        <f ca="1">IF(AND(MONTH(D9)=MONTH(TODAY()),DAY(D9)=DAY(TODAY())),"生日快乐","")</f>
        <v/>
      </c>
    </row>
    <row r="10" spans="1:10" ht="24.6" x14ac:dyDescent="0.4">
      <c r="A10" s="10">
        <v>9</v>
      </c>
      <c r="B10" s="6" t="s">
        <v>244</v>
      </c>
      <c r="C10" s="6" t="s">
        <v>245</v>
      </c>
      <c r="D10" s="7">
        <v>46188</v>
      </c>
      <c r="E10" s="11" t="s">
        <v>13</v>
      </c>
      <c r="F10" s="6">
        <v>9.6999999999999993</v>
      </c>
      <c r="G10" s="12" t="str">
        <f>IF(AND(F10&lt;=10, F10&gt;=9), "S", IF(F10&gt;=8, "A", IF(F10&gt;=7, "B", "C")))</f>
        <v>S</v>
      </c>
      <c r="H10" s="13">
        <f ca="1">YEAR(TODAY())-YEAR(D10)</f>
        <v>0</v>
      </c>
      <c r="I10" s="13" t="str">
        <f ca="1">IF(MOD(H10,10)=0,H10&amp;"周岁快乐","")</f>
        <v>0周岁快乐</v>
      </c>
      <c r="J10" s="13" t="str">
        <f ca="1">IF(AND(MONTH(D10)=MONTH(TODAY()),DAY(D10)=DAY(TODAY())),"生日快乐","")</f>
        <v/>
      </c>
    </row>
    <row r="11" spans="1:10" ht="24.6" x14ac:dyDescent="0.4">
      <c r="A11" s="10">
        <v>10</v>
      </c>
      <c r="B11" s="6" t="s">
        <v>246</v>
      </c>
      <c r="C11" s="6" t="s">
        <v>247</v>
      </c>
      <c r="D11" s="7">
        <v>46188</v>
      </c>
      <c r="E11" s="11" t="s">
        <v>13</v>
      </c>
      <c r="F11" s="6">
        <v>9.6999999999999993</v>
      </c>
      <c r="G11" s="12" t="str">
        <f>IF(AND(F11&lt;=10, F11&gt;=9), "S", IF(F11&gt;=8, "A", IF(F11&gt;=7, "B", "C")))</f>
        <v>S</v>
      </c>
      <c r="H11" s="13">
        <f ca="1">YEAR(TODAY())-YEAR(D11)</f>
        <v>0</v>
      </c>
      <c r="I11" s="13" t="str">
        <f ca="1">IF(MOD(H11,10)=0,H11&amp;"周岁快乐","")</f>
        <v>0周岁快乐</v>
      </c>
      <c r="J11" s="13" t="str">
        <f ca="1">IF(AND(MONTH(D11)=MONTH(TODAY()),DAY(D11)=DAY(TODAY())),"生日快乐","")</f>
        <v/>
      </c>
    </row>
    <row r="12" spans="1:10" ht="24.6" x14ac:dyDescent="0.4">
      <c r="A12" s="10">
        <v>11</v>
      </c>
      <c r="B12" s="6" t="s">
        <v>258</v>
      </c>
      <c r="C12" s="6" t="s">
        <v>259</v>
      </c>
      <c r="D12" s="7">
        <v>46264</v>
      </c>
      <c r="E12" s="11" t="s">
        <v>13</v>
      </c>
      <c r="F12" s="6">
        <v>9.6999999999999993</v>
      </c>
      <c r="G12" s="12" t="str">
        <f>IF(AND(F12&lt;=10, F12&gt;=9), "S", IF(F12&gt;=8, "A", IF(F12&gt;=7, "B", "C")))</f>
        <v>S</v>
      </c>
      <c r="H12" s="13">
        <f ca="1">YEAR(TODAY())-YEAR(D12)</f>
        <v>0</v>
      </c>
      <c r="I12" s="13" t="str">
        <f ca="1">IF(MOD(H12,10)=0,H12&amp;"周岁快乐","")</f>
        <v>0周岁快乐</v>
      </c>
      <c r="J12" s="13" t="str">
        <f ca="1">IF(AND(MONTH(D12)=MONTH(TODAY()),DAY(D12)=DAY(TODAY())),"生日快乐","")</f>
        <v/>
      </c>
    </row>
    <row r="13" spans="1:10" ht="24.6" x14ac:dyDescent="0.4">
      <c r="A13" s="10">
        <v>12</v>
      </c>
      <c r="B13" s="6" t="s">
        <v>262</v>
      </c>
      <c r="C13" s="6" t="s">
        <v>263</v>
      </c>
      <c r="D13" s="7">
        <v>46275</v>
      </c>
      <c r="E13" s="11" t="s">
        <v>13</v>
      </c>
      <c r="F13" s="6">
        <v>9.6999999999999993</v>
      </c>
      <c r="G13" s="12" t="str">
        <f>IF(AND(F13&lt;=10, F13&gt;=9), "S", IF(F13&gt;=8, "A", IF(F13&gt;=7, "B", "C")))</f>
        <v>S</v>
      </c>
      <c r="H13" s="13">
        <f ca="1">YEAR(TODAY())-YEAR(D13)</f>
        <v>0</v>
      </c>
      <c r="I13" s="13" t="str">
        <f ca="1">IF(MOD(H13,10)=0,H13&amp;"周岁快乐","")</f>
        <v>0周岁快乐</v>
      </c>
      <c r="J13" s="13" t="str">
        <f ca="1">IF(AND(MONTH(D13)=MONTH(TODAY()),DAY(D13)=DAY(TODAY())),"生日快乐","")</f>
        <v/>
      </c>
    </row>
    <row r="14" spans="1:10" ht="24.6" x14ac:dyDescent="0.4">
      <c r="A14" s="10">
        <v>13</v>
      </c>
      <c r="B14" s="6" t="s">
        <v>200</v>
      </c>
      <c r="C14" s="6" t="s">
        <v>201</v>
      </c>
      <c r="D14" s="7">
        <v>46092</v>
      </c>
      <c r="E14" s="11" t="s">
        <v>13</v>
      </c>
      <c r="F14" s="6">
        <v>9.6</v>
      </c>
      <c r="G14" s="12" t="str">
        <f>IF(AND(F14&lt;=10, F14&gt;=9), "S", IF(F14&gt;=8, "A", IF(F14&gt;=7, "B", "C")))</f>
        <v>S</v>
      </c>
      <c r="H14" s="13">
        <f ca="1">YEAR(TODAY())-YEAR(D14)</f>
        <v>0</v>
      </c>
      <c r="I14" s="13" t="str">
        <f ca="1">IF(MOD(H14,10)=0,H14&amp;"周岁快乐","")</f>
        <v>0周岁快乐</v>
      </c>
      <c r="J14" s="13" t="str">
        <f ca="1">IF(AND(MONTH(D14)=MONTH(TODAY()),DAY(D14)=DAY(TODAY())),"生日快乐","")</f>
        <v/>
      </c>
    </row>
    <row r="15" spans="1:10" ht="24.6" x14ac:dyDescent="0.4">
      <c r="A15" s="10">
        <v>14</v>
      </c>
      <c r="B15" s="6" t="s">
        <v>180</v>
      </c>
      <c r="C15" s="6" t="s">
        <v>216</v>
      </c>
      <c r="D15" s="7">
        <v>46035</v>
      </c>
      <c r="E15" s="11" t="s">
        <v>13</v>
      </c>
      <c r="F15" s="6">
        <v>9.6</v>
      </c>
      <c r="G15" s="12" t="str">
        <f>IF(AND(F15&lt;=10, F15&gt;=9), "S", IF(F15&gt;=8, "A", IF(F15&gt;=7, "B", "C")))</f>
        <v>S</v>
      </c>
      <c r="H15" s="13">
        <f ca="1">YEAR(TODAY())-YEAR(D15)</f>
        <v>0</v>
      </c>
      <c r="I15" s="13" t="str">
        <f ca="1">IF(MOD(H15,10)=0,H15&amp;"周岁快乐","")</f>
        <v>0周岁快乐</v>
      </c>
      <c r="J15" s="13" t="str">
        <f ca="1">IF(AND(MONTH(D15)=MONTH(TODAY()),DAY(D15)=DAY(TODAY())),"生日快乐","")</f>
        <v/>
      </c>
    </row>
    <row r="16" spans="1:10" ht="24.6" x14ac:dyDescent="0.4">
      <c r="A16" s="10">
        <v>15</v>
      </c>
      <c r="B16" s="6" t="s">
        <v>181</v>
      </c>
      <c r="C16" s="6" t="s">
        <v>217</v>
      </c>
      <c r="D16" s="7">
        <v>46047</v>
      </c>
      <c r="E16" s="11" t="s">
        <v>13</v>
      </c>
      <c r="F16" s="6">
        <v>9.6</v>
      </c>
      <c r="G16" s="12" t="str">
        <f>IF(AND(F16&lt;=10, F16&gt;=9), "S", IF(F16&gt;=8, "A", IF(F16&gt;=7, "B", "C")))</f>
        <v>S</v>
      </c>
      <c r="H16" s="13">
        <f ca="1">YEAR(TODAY())-YEAR(D16)</f>
        <v>0</v>
      </c>
      <c r="I16" s="13" t="str">
        <f ca="1">IF(MOD(H16,10)=0,H16&amp;"周岁快乐","")</f>
        <v>0周岁快乐</v>
      </c>
      <c r="J16" s="13" t="str">
        <f ca="1">IF(AND(MONTH(D16)=MONTH(TODAY()),DAY(D16)=DAY(TODAY())),"生日快乐","")</f>
        <v/>
      </c>
    </row>
    <row r="17" spans="1:10" ht="24.6" x14ac:dyDescent="0.4">
      <c r="A17" s="10">
        <v>16</v>
      </c>
      <c r="B17" s="6" t="s">
        <v>182</v>
      </c>
      <c r="C17" s="6" t="s">
        <v>183</v>
      </c>
      <c r="D17" s="7">
        <v>45991</v>
      </c>
      <c r="E17" s="11" t="s">
        <v>13</v>
      </c>
      <c r="F17" s="6">
        <v>9.6</v>
      </c>
      <c r="G17" s="12" t="str">
        <f>IF(AND(F17&lt;=10, F17&gt;=9), "S", IF(F17&gt;=8, "A", IF(F17&gt;=7, "B", "C")))</f>
        <v>S</v>
      </c>
      <c r="H17" s="13">
        <f ca="1">YEAR(TODAY())-YEAR(D17)</f>
        <v>1</v>
      </c>
      <c r="I17" s="13" t="str">
        <f ca="1">IF(MOD(H17,10)=0,H17&amp;"周岁快乐","")</f>
        <v/>
      </c>
      <c r="J17" s="13" t="str">
        <f ca="1">IF(AND(MONTH(D17)=MONTH(TODAY()),DAY(D17)=DAY(TODAY())),"生日快乐","")</f>
        <v/>
      </c>
    </row>
    <row r="18" spans="1:10" ht="24.6" x14ac:dyDescent="0.4">
      <c r="A18" s="10">
        <v>17</v>
      </c>
      <c r="B18" s="6" t="s">
        <v>234</v>
      </c>
      <c r="C18" s="6" t="s">
        <v>235</v>
      </c>
      <c r="D18" s="7">
        <v>46184</v>
      </c>
      <c r="E18" s="11" t="s">
        <v>13</v>
      </c>
      <c r="F18" s="6">
        <v>9.6</v>
      </c>
      <c r="G18" s="12" t="str">
        <f>IF(AND(F18&lt;=10, F18&gt;=9), "S", IF(F18&gt;=8, "A", IF(F18&gt;=7, "B", "C")))</f>
        <v>S</v>
      </c>
      <c r="H18" s="13">
        <f ca="1">YEAR(TODAY())-YEAR(D18)</f>
        <v>0</v>
      </c>
      <c r="I18" s="13" t="str">
        <f ca="1">IF(MOD(H18,10)=0,H18&amp;"周岁快乐","")</f>
        <v>0周岁快乐</v>
      </c>
      <c r="J18" s="13" t="str">
        <f ca="1">IF(AND(MONTH(D18)=MONTH(TODAY()),DAY(D18)=DAY(TODAY())),"生日快乐","")</f>
        <v/>
      </c>
    </row>
    <row r="19" spans="1:10" ht="24.6" x14ac:dyDescent="0.4">
      <c r="A19" s="10">
        <v>18</v>
      </c>
      <c r="B19" s="6" t="s">
        <v>226</v>
      </c>
      <c r="C19" s="6" t="s">
        <v>227</v>
      </c>
      <c r="D19" s="7">
        <v>46148</v>
      </c>
      <c r="E19" s="11" t="s">
        <v>13</v>
      </c>
      <c r="F19" s="6">
        <v>9.5</v>
      </c>
      <c r="G19" s="12" t="str">
        <f>IF(AND(F19&lt;=10, F19&gt;=9), "S", IF(F19&gt;=8, "A", IF(F19&gt;=7, "B", "C")))</f>
        <v>S</v>
      </c>
      <c r="H19" s="13">
        <f ca="1">YEAR(TODAY())-YEAR(D19)</f>
        <v>0</v>
      </c>
      <c r="I19" s="13" t="str">
        <f ca="1">IF(MOD(H19,10)=0,H19&amp;"周岁快乐","")</f>
        <v>0周岁快乐</v>
      </c>
      <c r="J19" s="13" t="str">
        <f ca="1">IF(AND(MONTH(D19)=MONTH(TODAY()),DAY(D19)=DAY(TODAY())),"生日快乐","")</f>
        <v/>
      </c>
    </row>
    <row r="20" spans="1:10" ht="24.6" x14ac:dyDescent="0.4">
      <c r="A20" s="10">
        <v>19</v>
      </c>
      <c r="B20" s="6" t="s">
        <v>228</v>
      </c>
      <c r="C20" s="6" t="s">
        <v>229</v>
      </c>
      <c r="D20" s="7">
        <v>46148</v>
      </c>
      <c r="E20" s="11" t="s">
        <v>13</v>
      </c>
      <c r="F20" s="6">
        <v>9.5</v>
      </c>
      <c r="G20" s="12" t="str">
        <f>IF(AND(F20&lt;=10, F20&gt;=9), "S", IF(F20&gt;=8, "A", IF(F20&gt;=7, "B", "C")))</f>
        <v>S</v>
      </c>
      <c r="H20" s="13">
        <f ca="1">YEAR(TODAY())-YEAR(D20)</f>
        <v>0</v>
      </c>
      <c r="I20" s="13" t="str">
        <f ca="1">IF(MOD(H20,10)=0,H20&amp;"周岁快乐","")</f>
        <v>0周岁快乐</v>
      </c>
      <c r="J20" s="13" t="str">
        <f ca="1">IF(AND(MONTH(D20)=MONTH(TODAY()),DAY(D20)=DAY(TODAY())),"生日快乐","")</f>
        <v/>
      </c>
    </row>
    <row r="21" spans="1:10" ht="24.6" x14ac:dyDescent="0.4">
      <c r="A21" s="10">
        <v>20</v>
      </c>
      <c r="B21" s="6" t="s">
        <v>236</v>
      </c>
      <c r="C21" s="6" t="s">
        <v>237</v>
      </c>
      <c r="D21" s="7">
        <v>46185</v>
      </c>
      <c r="E21" s="11" t="s">
        <v>13</v>
      </c>
      <c r="F21" s="6">
        <v>9.5</v>
      </c>
      <c r="G21" s="12" t="str">
        <f>IF(AND(F21&lt;=10, F21&gt;=9), "S", IF(F21&gt;=8, "A", IF(F21&gt;=7, "B", "C")))</f>
        <v>S</v>
      </c>
      <c r="H21" s="13">
        <f ca="1">YEAR(TODAY())-YEAR(D21)</f>
        <v>0</v>
      </c>
      <c r="I21" s="13" t="str">
        <f ca="1">IF(MOD(H21,10)=0,H21&amp;"周岁快乐","")</f>
        <v>0周岁快乐</v>
      </c>
      <c r="J21" s="13" t="str">
        <f ca="1">IF(AND(MONTH(D21)=MONTH(TODAY()),DAY(D21)=DAY(TODAY())),"生日快乐","")</f>
        <v/>
      </c>
    </row>
    <row r="22" spans="1:10" ht="24.6" x14ac:dyDescent="0.4">
      <c r="A22" s="10">
        <v>21</v>
      </c>
      <c r="B22" s="6" t="s">
        <v>250</v>
      </c>
      <c r="C22" s="6" t="s">
        <v>251</v>
      </c>
      <c r="D22" s="7">
        <v>46189</v>
      </c>
      <c r="E22" s="11" t="s">
        <v>13</v>
      </c>
      <c r="F22" s="6">
        <v>9.5</v>
      </c>
      <c r="G22" s="12" t="str">
        <f>IF(AND(F22&lt;=10, F22&gt;=9), "S", IF(F22&gt;=8, "A", IF(F22&gt;=7, "B", "C")))</f>
        <v>S</v>
      </c>
      <c r="H22" s="13">
        <f ca="1">YEAR(TODAY())-YEAR(D22)</f>
        <v>0</v>
      </c>
      <c r="I22" s="13" t="str">
        <f ca="1">IF(MOD(H22,10)=0,H22&amp;"周岁快乐","")</f>
        <v>0周岁快乐</v>
      </c>
      <c r="J22" s="13" t="str">
        <f ca="1">IF(AND(MONTH(D22)=MONTH(TODAY()),DAY(D22)=DAY(TODAY())),"生日快乐","")</f>
        <v/>
      </c>
    </row>
    <row r="23" spans="1:10" ht="24.6" x14ac:dyDescent="0.4">
      <c r="A23" s="10">
        <v>22</v>
      </c>
      <c r="B23" s="6" t="s">
        <v>252</v>
      </c>
      <c r="C23" s="6" t="s">
        <v>253</v>
      </c>
      <c r="D23" s="7">
        <v>46189</v>
      </c>
      <c r="E23" s="11" t="s">
        <v>13</v>
      </c>
      <c r="F23" s="6">
        <v>9.5</v>
      </c>
      <c r="G23" s="12" t="str">
        <f>IF(AND(F23&lt;=10, F23&gt;=9), "S", IF(F23&gt;=8, "A", IF(F23&gt;=7, "B", "C")))</f>
        <v>S</v>
      </c>
      <c r="H23" s="13">
        <f ca="1">YEAR(TODAY())-YEAR(D23)</f>
        <v>0</v>
      </c>
      <c r="I23" s="13" t="str">
        <f ca="1">IF(MOD(H23,10)=0,H23&amp;"周岁快乐","")</f>
        <v>0周岁快乐</v>
      </c>
      <c r="J23" s="13" t="str">
        <f ca="1">IF(AND(MONTH(D23)=MONTH(TODAY()),DAY(D23)=DAY(TODAY())),"生日快乐","")</f>
        <v/>
      </c>
    </row>
    <row r="24" spans="1:10" ht="24.6" x14ac:dyDescent="0.4">
      <c r="A24" s="10">
        <v>23</v>
      </c>
      <c r="B24" s="6" t="s">
        <v>202</v>
      </c>
      <c r="C24" s="6" t="s">
        <v>203</v>
      </c>
      <c r="D24" s="7">
        <v>46092</v>
      </c>
      <c r="E24" s="11" t="s">
        <v>13</v>
      </c>
      <c r="F24" s="6">
        <v>9.3000000000000007</v>
      </c>
      <c r="G24" s="12" t="str">
        <f>IF(AND(F24&lt;=10, F24&gt;=9), "S", IF(F24&gt;=8, "A", IF(F24&gt;=7, "B", "C")))</f>
        <v>S</v>
      </c>
      <c r="H24" s="13">
        <f ca="1">YEAR(TODAY())-YEAR(D24)</f>
        <v>0</v>
      </c>
      <c r="I24" s="13" t="str">
        <f ca="1">IF(MOD(H24,10)=0,H24&amp;"周岁快乐","")</f>
        <v>0周岁快乐</v>
      </c>
      <c r="J24" s="13" t="str">
        <f ca="1">IF(AND(MONTH(D24)=MONTH(TODAY()),DAY(D24)=DAY(TODAY())),"生日快乐","")</f>
        <v/>
      </c>
    </row>
    <row r="25" spans="1:10" ht="24.6" x14ac:dyDescent="0.4">
      <c r="A25" s="10">
        <v>24</v>
      </c>
      <c r="B25" s="6" t="s">
        <v>206</v>
      </c>
      <c r="C25" s="6" t="s">
        <v>207</v>
      </c>
      <c r="D25" s="7">
        <v>46098</v>
      </c>
      <c r="E25" s="11" t="s">
        <v>13</v>
      </c>
      <c r="F25" s="6">
        <v>9.3000000000000007</v>
      </c>
      <c r="G25" s="12" t="str">
        <f>IF(AND(F25&lt;=10, F25&gt;=9), "S", IF(F25&gt;=8, "A", IF(F25&gt;=7, "B", "C")))</f>
        <v>S</v>
      </c>
      <c r="H25" s="13">
        <f ca="1">YEAR(TODAY())-YEAR(D25)</f>
        <v>0</v>
      </c>
      <c r="I25" s="13" t="str">
        <f ca="1">IF(MOD(H25,10)=0,H25&amp;"周岁快乐","")</f>
        <v>0周岁快乐</v>
      </c>
      <c r="J25" s="13" t="str">
        <f ca="1">IF(AND(MONTH(D25)=MONTH(TODAY()),DAY(D25)=DAY(TODAY())),"生日快乐","")</f>
        <v/>
      </c>
    </row>
    <row r="26" spans="1:10" ht="24.6" x14ac:dyDescent="0.4">
      <c r="A26" s="10">
        <v>25</v>
      </c>
      <c r="B26" s="6" t="s">
        <v>208</v>
      </c>
      <c r="C26" s="6" t="s">
        <v>209</v>
      </c>
      <c r="D26" s="7">
        <v>46099</v>
      </c>
      <c r="E26" s="11" t="s">
        <v>13</v>
      </c>
      <c r="F26" s="6">
        <v>9.3000000000000007</v>
      </c>
      <c r="G26" s="12" t="str">
        <f>IF(AND(F26&lt;=10, F26&gt;=9), "S", IF(F26&gt;=8, "A", IF(F26&gt;=7, "B", "C")))</f>
        <v>S</v>
      </c>
      <c r="H26" s="13">
        <f ca="1">YEAR(TODAY())-YEAR(D26)</f>
        <v>0</v>
      </c>
      <c r="I26" s="13" t="str">
        <f ca="1">IF(MOD(H26,10)=0,H26&amp;"周岁快乐","")</f>
        <v>0周岁快乐</v>
      </c>
      <c r="J26" s="13" t="str">
        <f ca="1">IF(AND(MONTH(D26)=MONTH(TODAY()),DAY(D26)=DAY(TODAY())),"生日快乐","")</f>
        <v/>
      </c>
    </row>
    <row r="27" spans="1:10" ht="24.6" x14ac:dyDescent="0.4">
      <c r="A27" s="10">
        <v>26</v>
      </c>
      <c r="B27" s="6" t="s">
        <v>212</v>
      </c>
      <c r="C27" s="6" t="s">
        <v>213</v>
      </c>
      <c r="D27" s="7">
        <v>46114</v>
      </c>
      <c r="E27" s="11" t="s">
        <v>13</v>
      </c>
      <c r="F27" s="6">
        <v>9.3000000000000007</v>
      </c>
      <c r="G27" s="12" t="str">
        <f>IF(AND(F27&lt;=10, F27&gt;=9), "S", IF(F27&gt;=8, "A", IF(F27&gt;=7, "B", "C")))</f>
        <v>S</v>
      </c>
      <c r="H27" s="13">
        <f ca="1">YEAR(TODAY())-YEAR(D27)</f>
        <v>0</v>
      </c>
      <c r="I27" s="13" t="str">
        <f ca="1">IF(MOD(H27,10)=0,H27&amp;"周岁快乐","")</f>
        <v>0周岁快乐</v>
      </c>
      <c r="J27" s="13" t="str">
        <f ca="1">IF(AND(MONTH(D27)=MONTH(TODAY()),DAY(D27)=DAY(TODAY())),"生日快乐","")</f>
        <v/>
      </c>
    </row>
    <row r="28" spans="1:10" ht="24.6" x14ac:dyDescent="0.4">
      <c r="A28" s="10">
        <v>27</v>
      </c>
      <c r="B28" s="6" t="s">
        <v>248</v>
      </c>
      <c r="C28" s="6" t="s">
        <v>249</v>
      </c>
      <c r="D28" s="7">
        <v>46189</v>
      </c>
      <c r="E28" s="11" t="s">
        <v>13</v>
      </c>
      <c r="F28" s="6">
        <v>9.3000000000000007</v>
      </c>
      <c r="G28" s="12" t="str">
        <f>IF(AND(F28&lt;=10, F28&gt;=9), "S", IF(F28&gt;=8, "A", IF(F28&gt;=7, "B", "C")))</f>
        <v>S</v>
      </c>
      <c r="H28" s="13">
        <f ca="1">YEAR(TODAY())-YEAR(D28)</f>
        <v>0</v>
      </c>
      <c r="I28" s="13" t="str">
        <f ca="1">IF(MOD(H28,10)=0,H28&amp;"周岁快乐","")</f>
        <v>0周岁快乐</v>
      </c>
      <c r="J28" s="13" t="str">
        <f ca="1">IF(AND(MONTH(D28)=MONTH(TODAY()),DAY(D28)=DAY(TODAY())),"生日快乐","")</f>
        <v/>
      </c>
    </row>
    <row r="29" spans="1:10" ht="24.6" x14ac:dyDescent="0.4">
      <c r="A29" s="10">
        <v>28</v>
      </c>
      <c r="B29" s="6" t="s">
        <v>254</v>
      </c>
      <c r="C29" s="6" t="s">
        <v>255</v>
      </c>
      <c r="D29" s="7">
        <v>46190</v>
      </c>
      <c r="E29" s="11" t="s">
        <v>13</v>
      </c>
      <c r="F29" s="6">
        <v>9.3000000000000007</v>
      </c>
      <c r="G29" s="12" t="str">
        <f>IF(AND(F29&lt;=10, F29&gt;=9), "S", IF(F29&gt;=8, "A", IF(F29&gt;=7, "B", "C")))</f>
        <v>S</v>
      </c>
      <c r="H29" s="13">
        <f ca="1">YEAR(TODAY())-YEAR(D29)</f>
        <v>0</v>
      </c>
      <c r="I29" s="13" t="str">
        <f ca="1">IF(MOD(H29,10)=0,H29&amp;"周岁快乐","")</f>
        <v>0周岁快乐</v>
      </c>
      <c r="J29" s="13" t="str">
        <f ca="1">IF(AND(MONTH(D29)=MONTH(TODAY()),DAY(D29)=DAY(TODAY())),"生日快乐","")</f>
        <v/>
      </c>
    </row>
    <row r="30" spans="1:10" ht="24.6" x14ac:dyDescent="0.4">
      <c r="A30" s="10">
        <v>29</v>
      </c>
      <c r="B30" s="6" t="s">
        <v>264</v>
      </c>
      <c r="C30" s="6" t="s">
        <v>265</v>
      </c>
      <c r="D30" s="7">
        <v>46291</v>
      </c>
      <c r="E30" s="11" t="s">
        <v>13</v>
      </c>
      <c r="F30" s="6">
        <v>9.3000000000000007</v>
      </c>
      <c r="G30" s="12" t="str">
        <f>IF(AND(F30&lt;=10, F30&gt;=9), "S", IF(F30&gt;=8, "A", IF(F30&gt;=7, "B", "C")))</f>
        <v>S</v>
      </c>
      <c r="H30" s="13">
        <f ca="1">YEAR(TODAY())-YEAR(D30)</f>
        <v>0</v>
      </c>
      <c r="I30" s="13" t="str">
        <f ca="1">IF(MOD(H30,10)=0,H30&amp;"周岁快乐","")</f>
        <v>0周岁快乐</v>
      </c>
      <c r="J30" s="13" t="str">
        <f ca="1">IF(AND(MONTH(D30)=MONTH(TODAY()),DAY(D30)=DAY(TODAY())),"生日快乐","")</f>
        <v>生日快乐</v>
      </c>
    </row>
    <row r="31" spans="1:10" ht="24.6" x14ac:dyDescent="0.4">
      <c r="A31" s="10">
        <v>30</v>
      </c>
      <c r="B31" s="6" t="s">
        <v>184</v>
      </c>
      <c r="C31" s="6" t="s">
        <v>185</v>
      </c>
      <c r="D31" s="7">
        <v>46032</v>
      </c>
      <c r="E31" s="11" t="s">
        <v>13</v>
      </c>
      <c r="F31" s="6">
        <v>9.1999999999999993</v>
      </c>
      <c r="G31" s="12" t="str">
        <f>IF(AND(F31&lt;=10, F31&gt;=9), "S", IF(F31&gt;=8, "A", IF(F31&gt;=7, "B", "C")))</f>
        <v>S</v>
      </c>
      <c r="H31" s="13">
        <f ca="1">YEAR(TODAY())-YEAR(D31)</f>
        <v>0</v>
      </c>
      <c r="I31" s="13" t="str">
        <f ca="1">IF(MOD(H31,10)=0,H31&amp;"周岁快乐","")</f>
        <v>0周岁快乐</v>
      </c>
      <c r="J31" s="13" t="str">
        <f ca="1">IF(AND(MONTH(D31)=MONTH(TODAY()),DAY(D31)=DAY(TODAY())),"生日快乐","")</f>
        <v/>
      </c>
    </row>
    <row r="32" spans="1:10" ht="24.6" x14ac:dyDescent="0.4">
      <c r="A32" s="10">
        <v>31</v>
      </c>
      <c r="B32" s="6" t="s">
        <v>232</v>
      </c>
      <c r="C32" s="6" t="s">
        <v>233</v>
      </c>
      <c r="D32" s="7">
        <v>46184</v>
      </c>
      <c r="E32" s="11" t="s">
        <v>13</v>
      </c>
      <c r="F32" s="6">
        <v>9.1999999999999993</v>
      </c>
      <c r="G32" s="12" t="str">
        <f>IF(AND(F32&lt;=10, F32&gt;=9), "S", IF(F32&gt;=8, "A", IF(F32&gt;=7, "B", "C")))</f>
        <v>S</v>
      </c>
      <c r="H32" s="13">
        <f ca="1">YEAR(TODAY())-YEAR(D32)</f>
        <v>0</v>
      </c>
      <c r="I32" s="13" t="str">
        <f ca="1">IF(MOD(H32,10)=0,H32&amp;"周岁快乐","")</f>
        <v>0周岁快乐</v>
      </c>
      <c r="J32" s="13" t="str">
        <f ca="1">IF(AND(MONTH(D32)=MONTH(TODAY()),DAY(D32)=DAY(TODAY())),"生日快乐","")</f>
        <v/>
      </c>
    </row>
    <row r="33" spans="1:10" ht="24.6" x14ac:dyDescent="0.4">
      <c r="A33" s="10">
        <v>32</v>
      </c>
      <c r="B33" s="6" t="s">
        <v>238</v>
      </c>
      <c r="C33" s="6" t="s">
        <v>239</v>
      </c>
      <c r="D33" s="7">
        <v>46186</v>
      </c>
      <c r="E33" s="11" t="s">
        <v>13</v>
      </c>
      <c r="F33" s="6">
        <v>9.1999999999999993</v>
      </c>
      <c r="G33" s="12" t="str">
        <f>IF(AND(F33&lt;=10, F33&gt;=9), "S", IF(F33&gt;=8, "A", IF(F33&gt;=7, "B", "C")))</f>
        <v>S</v>
      </c>
      <c r="H33" s="13">
        <f ca="1">YEAR(TODAY())-YEAR(D33)</f>
        <v>0</v>
      </c>
      <c r="I33" s="13" t="str">
        <f ca="1">IF(MOD(H33,10)=0,H33&amp;"周岁快乐","")</f>
        <v>0周岁快乐</v>
      </c>
      <c r="J33" s="13" t="str">
        <f ca="1">IF(AND(MONTH(D33)=MONTH(TODAY()),DAY(D33)=DAY(TODAY())),"生日快乐","")</f>
        <v/>
      </c>
    </row>
    <row r="34" spans="1:10" ht="24.6" x14ac:dyDescent="0.4">
      <c r="A34" s="10">
        <v>33</v>
      </c>
      <c r="B34" s="6" t="s">
        <v>186</v>
      </c>
      <c r="C34" s="6" t="s">
        <v>187</v>
      </c>
      <c r="D34" s="7">
        <v>46050</v>
      </c>
      <c r="E34" s="11" t="s">
        <v>13</v>
      </c>
      <c r="F34" s="6">
        <v>9.1</v>
      </c>
      <c r="G34" s="12" t="str">
        <f>IF(AND(F34&lt;=10, F34&gt;=9), "S", IF(F34&gt;=8, "A", IF(F34&gt;=7, "B", "C")))</f>
        <v>S</v>
      </c>
      <c r="H34" s="13">
        <f ca="1">YEAR(TODAY())-YEAR(D34)</f>
        <v>0</v>
      </c>
      <c r="I34" s="13" t="str">
        <f ca="1">IF(MOD(H34,10)=0,H34&amp;"周岁快乐","")</f>
        <v>0周岁快乐</v>
      </c>
      <c r="J34" s="13" t="str">
        <f ca="1">IF(AND(MONTH(D34)=MONTH(TODAY()),DAY(D34)=DAY(TODAY())),"生日快乐","")</f>
        <v/>
      </c>
    </row>
    <row r="35" spans="1:10" ht="24.6" x14ac:dyDescent="0.4">
      <c r="A35" s="10">
        <v>34</v>
      </c>
      <c r="B35" s="6" t="s">
        <v>240</v>
      </c>
      <c r="C35" s="6" t="s">
        <v>241</v>
      </c>
      <c r="D35" s="7">
        <v>46187</v>
      </c>
      <c r="E35" s="11" t="s">
        <v>13</v>
      </c>
      <c r="F35" s="6">
        <v>9.1</v>
      </c>
      <c r="G35" s="12" t="str">
        <f>IF(AND(F35&lt;=10, F35&gt;=9), "S", IF(F35&gt;=8, "A", IF(F35&gt;=7, "B", "C")))</f>
        <v>S</v>
      </c>
      <c r="H35" s="13">
        <f ca="1">YEAR(TODAY())-YEAR(D35)</f>
        <v>0</v>
      </c>
      <c r="I35" s="13" t="str">
        <f ca="1">IF(MOD(H35,10)=0,H35&amp;"周岁快乐","")</f>
        <v>0周岁快乐</v>
      </c>
      <c r="J35" s="13" t="str">
        <f ca="1">IF(AND(MONTH(D35)=MONTH(TODAY()),DAY(D35)=DAY(TODAY())),"生日快乐","")</f>
        <v/>
      </c>
    </row>
    <row r="36" spans="1:10" ht="24.6" x14ac:dyDescent="0.4">
      <c r="A36" s="10">
        <v>35</v>
      </c>
      <c r="B36" s="6" t="s">
        <v>194</v>
      </c>
      <c r="C36" s="6" t="s">
        <v>195</v>
      </c>
      <c r="D36" s="7">
        <v>46090</v>
      </c>
      <c r="E36" s="11" t="s">
        <v>13</v>
      </c>
      <c r="F36" s="6">
        <v>9</v>
      </c>
      <c r="G36" s="12" t="str">
        <f>IF(AND(F36&lt;=10, F36&gt;=9), "S", IF(F36&gt;=8, "A", IF(F36&gt;=7, "B", "C")))</f>
        <v>S</v>
      </c>
      <c r="H36" s="13">
        <f ca="1">YEAR(TODAY())-YEAR(D36)</f>
        <v>0</v>
      </c>
      <c r="I36" s="13" t="str">
        <f ca="1">IF(MOD(H36,10)=0,H36&amp;"周岁快乐","")</f>
        <v>0周岁快乐</v>
      </c>
      <c r="J36" s="13" t="str">
        <f ca="1">IF(AND(MONTH(D36)=MONTH(TODAY()),DAY(D36)=DAY(TODAY())),"生日快乐","")</f>
        <v/>
      </c>
    </row>
    <row r="37" spans="1:10" ht="24.6" x14ac:dyDescent="0.4">
      <c r="A37" s="10">
        <v>36</v>
      </c>
      <c r="B37" s="6" t="s">
        <v>196</v>
      </c>
      <c r="C37" s="6" t="s">
        <v>197</v>
      </c>
      <c r="D37" s="7">
        <v>46090</v>
      </c>
      <c r="E37" s="11" t="s">
        <v>13</v>
      </c>
      <c r="F37" s="6">
        <v>9</v>
      </c>
      <c r="G37" s="12" t="str">
        <f>IF(AND(F37&lt;=10, F37&gt;=9), "S", IF(F37&gt;=8, "A", IF(F37&gt;=7, "B", "C")))</f>
        <v>S</v>
      </c>
      <c r="H37" s="13">
        <f ca="1">YEAR(TODAY())-YEAR(D37)</f>
        <v>0</v>
      </c>
      <c r="I37" s="13" t="str">
        <f ca="1">IF(MOD(H37,10)=0,H37&amp;"周岁快乐","")</f>
        <v>0周岁快乐</v>
      </c>
      <c r="J37" s="13" t="str">
        <f ca="1">IF(AND(MONTH(D37)=MONTH(TODAY()),DAY(D37)=DAY(TODAY())),"生日快乐","")</f>
        <v/>
      </c>
    </row>
    <row r="38" spans="1:10" ht="24.6" x14ac:dyDescent="0.4">
      <c r="A38" s="10">
        <v>37</v>
      </c>
      <c r="B38" s="6" t="s">
        <v>198</v>
      </c>
      <c r="C38" s="6" t="s">
        <v>199</v>
      </c>
      <c r="D38" s="7">
        <v>46090</v>
      </c>
      <c r="E38" s="11" t="s">
        <v>13</v>
      </c>
      <c r="F38" s="6">
        <v>9</v>
      </c>
      <c r="G38" s="12" t="str">
        <f>IF(AND(F38&lt;=10, F38&gt;=9), "S", IF(F38&gt;=8, "A", IF(F38&gt;=7, "B", "C")))</f>
        <v>S</v>
      </c>
      <c r="H38" s="13">
        <f ca="1">YEAR(TODAY())-YEAR(D38)</f>
        <v>0</v>
      </c>
      <c r="I38" s="13" t="str">
        <f ca="1">IF(MOD(H38,10)=0,H38&amp;"周岁快乐","")</f>
        <v>0周岁快乐</v>
      </c>
      <c r="J38" s="13" t="str">
        <f ca="1">IF(AND(MONTH(D38)=MONTH(TODAY()),DAY(D38)=DAY(TODAY())),"生日快乐","")</f>
        <v/>
      </c>
    </row>
    <row r="39" spans="1:10" ht="24.6" x14ac:dyDescent="0.4">
      <c r="A39" s="10">
        <v>38</v>
      </c>
      <c r="B39" s="6" t="s">
        <v>188</v>
      </c>
      <c r="C39" s="6" t="s">
        <v>189</v>
      </c>
      <c r="D39" s="7">
        <v>46032</v>
      </c>
      <c r="E39" s="11" t="s">
        <v>13</v>
      </c>
      <c r="F39" s="6">
        <v>9</v>
      </c>
      <c r="G39" s="12" t="str">
        <f>IF(AND(F39&lt;=10, F39&gt;=9), "S", IF(F39&gt;=8, "A", IF(F39&gt;=7, "B", "C")))</f>
        <v>S</v>
      </c>
      <c r="H39" s="13">
        <f ca="1">YEAR(TODAY())-YEAR(D39)</f>
        <v>0</v>
      </c>
      <c r="I39" s="13" t="str">
        <f ca="1">IF(MOD(H39,10)=0,H39&amp;"周岁快乐","")</f>
        <v>0周岁快乐</v>
      </c>
      <c r="J39" s="13" t="str">
        <f ca="1">IF(AND(MONTH(D39)=MONTH(TODAY()),DAY(D39)=DAY(TODAY())),"生日快乐","")</f>
        <v/>
      </c>
    </row>
    <row r="40" spans="1:10" ht="24.6" x14ac:dyDescent="0.4">
      <c r="A40" s="10">
        <v>39</v>
      </c>
      <c r="B40" s="6" t="s">
        <v>230</v>
      </c>
      <c r="C40" s="6" t="s">
        <v>231</v>
      </c>
      <c r="D40" s="7">
        <v>46183</v>
      </c>
      <c r="E40" s="11" t="s">
        <v>13</v>
      </c>
      <c r="F40" s="6">
        <v>9</v>
      </c>
      <c r="G40" s="12" t="str">
        <f>IF(AND(F40&lt;=10, F40&gt;=9), "S", IF(F40&gt;=8, "A", IF(F40&gt;=7, "B", "C")))</f>
        <v>S</v>
      </c>
      <c r="H40" s="13">
        <f ca="1">YEAR(TODAY())-YEAR(D40)</f>
        <v>0</v>
      </c>
      <c r="I40" s="13" t="str">
        <f ca="1">IF(MOD(H40,10)=0,H40&amp;"周岁快乐","")</f>
        <v>0周岁快乐</v>
      </c>
      <c r="J40" s="13" t="str">
        <f ca="1">IF(AND(MONTH(D40)=MONTH(TODAY()),DAY(D40)=DAY(TODAY())),"生日快乐","")</f>
        <v/>
      </c>
    </row>
    <row r="41" spans="1:10" ht="24.6" x14ac:dyDescent="0.4">
      <c r="A41" s="10">
        <v>40</v>
      </c>
      <c r="B41" s="6" t="s">
        <v>242</v>
      </c>
      <c r="C41" s="6" t="s">
        <v>243</v>
      </c>
      <c r="D41" s="7">
        <v>46188</v>
      </c>
      <c r="E41" s="11" t="s">
        <v>13</v>
      </c>
      <c r="F41" s="6">
        <v>9</v>
      </c>
      <c r="G41" s="12" t="str">
        <f>IF(AND(F41&lt;=10, F41&gt;=9), "S", IF(F41&gt;=8, "A", IF(F41&gt;=7, "B", "C")))</f>
        <v>S</v>
      </c>
      <c r="H41" s="13">
        <f ca="1">YEAR(TODAY())-YEAR(D41)</f>
        <v>0</v>
      </c>
      <c r="I41" s="13" t="str">
        <f ca="1">IF(MOD(H41,10)=0,H41&amp;"周岁快乐","")</f>
        <v>0周岁快乐</v>
      </c>
      <c r="J41" s="13" t="str">
        <f ca="1">IF(AND(MONTH(D41)=MONTH(TODAY()),DAY(D41)=DAY(TODAY())),"生日快乐","")</f>
        <v/>
      </c>
    </row>
    <row r="42" spans="1:10" ht="24.6" x14ac:dyDescent="0.4">
      <c r="A42" s="10">
        <v>41</v>
      </c>
      <c r="B42" s="6" t="s">
        <v>190</v>
      </c>
      <c r="C42" s="6" t="s">
        <v>191</v>
      </c>
      <c r="D42" s="7">
        <v>46037</v>
      </c>
      <c r="E42" s="11" t="s">
        <v>13</v>
      </c>
      <c r="F42" s="6">
        <v>8.5</v>
      </c>
      <c r="G42" s="12" t="str">
        <f>IF(AND(F42&lt;=10, F42&gt;=9), "S", IF(F42&gt;=8, "A", IF(F42&gt;=7, "B", "C")))</f>
        <v>A</v>
      </c>
      <c r="H42" s="13">
        <f ca="1">YEAR(TODAY())-YEAR(D42)</f>
        <v>0</v>
      </c>
      <c r="I42" s="13" t="str">
        <f ca="1">IF(MOD(H42,10)=0,H42&amp;"周岁快乐","")</f>
        <v>0周岁快乐</v>
      </c>
      <c r="J42" s="13" t="str">
        <f ca="1">IF(AND(MONTH(D42)=MONTH(TODAY()),DAY(D42)=DAY(TODAY())),"生日快乐","")</f>
        <v/>
      </c>
    </row>
    <row r="43" spans="1:10" ht="24.6" x14ac:dyDescent="0.4">
      <c r="A43" s="10">
        <v>42</v>
      </c>
      <c r="B43" s="6" t="s">
        <v>260</v>
      </c>
      <c r="C43" s="6" t="s">
        <v>261</v>
      </c>
      <c r="D43" s="7">
        <v>46270</v>
      </c>
      <c r="E43" s="11" t="s">
        <v>13</v>
      </c>
      <c r="F43" s="6">
        <v>8</v>
      </c>
      <c r="G43" s="12" t="str">
        <f>IF(AND(F43&lt;=10, F43&gt;=9), "S", IF(F43&gt;=8, "A", IF(F43&gt;=7, "B", "C")))</f>
        <v>A</v>
      </c>
      <c r="H43" s="13">
        <f ca="1">YEAR(TODAY())-YEAR(D43)</f>
        <v>0</v>
      </c>
      <c r="I43" s="13" t="str">
        <f ca="1">IF(MOD(H43,10)=0,H43&amp;"周岁快乐","")</f>
        <v>0周岁快乐</v>
      </c>
      <c r="J43" s="13" t="str">
        <f ca="1">IF(AND(MONTH(D43)=MONTH(TODAY()),DAY(D43)=DAY(TODAY())),"生日快乐","")</f>
        <v/>
      </c>
    </row>
    <row r="44" spans="1:10" ht="24.6" x14ac:dyDescent="0.4">
      <c r="A44" s="10">
        <v>43</v>
      </c>
      <c r="B44" s="6"/>
      <c r="C44" s="6"/>
      <c r="D44" s="7"/>
      <c r="E44" s="11"/>
      <c r="F44" s="6"/>
      <c r="G44" s="12" t="str">
        <f>IF(AND(F44&lt;=10, F44&gt;=9), "S", IF(F44&gt;=8, "A", IF(F44&gt;=7, "B", "C")))</f>
        <v>C</v>
      </c>
      <c r="H44" s="13">
        <f ca="1">YEAR(TODAY())-YEAR(D44)</f>
        <v>126</v>
      </c>
      <c r="I44" s="13" t="str">
        <f ca="1">IF(MOD(H44,10)=0,H44&amp;"周岁快乐","")</f>
        <v/>
      </c>
      <c r="J44" s="13" t="str">
        <f ca="1">IF(AND(MONTH(D44)=MONTH(TODAY()),DAY(D44)=DAY(TODAY())),"生日快乐","")</f>
        <v/>
      </c>
    </row>
    <row r="45" spans="1:10" ht="24.6" x14ac:dyDescent="0.4">
      <c r="A45" s="10">
        <v>44</v>
      </c>
      <c r="B45" s="6"/>
      <c r="C45" s="6"/>
      <c r="D45" s="7"/>
      <c r="E45" s="11"/>
      <c r="F45" s="6"/>
      <c r="G45" s="12" t="str">
        <f>IF(AND(F45&lt;=10, F45&gt;=9), "S", IF(F45&gt;=8, "A", IF(F45&gt;=7, "B", "C")))</f>
        <v>C</v>
      </c>
      <c r="H45" s="13">
        <f ca="1">YEAR(TODAY())-YEAR(D45)</f>
        <v>126</v>
      </c>
      <c r="I45" s="13" t="str">
        <f ca="1">IF(MOD(H45,10)=0,H45&amp;"周岁快乐","")</f>
        <v/>
      </c>
      <c r="J45" s="13" t="str">
        <f ca="1">IF(AND(MONTH(D45)=MONTH(TODAY()),DAY(D45)=DAY(TODAY())),"生日快乐","")</f>
        <v/>
      </c>
    </row>
    <row r="46" spans="1:10" ht="24.6" x14ac:dyDescent="0.4">
      <c r="A46" s="10">
        <v>45</v>
      </c>
      <c r="B46" s="6"/>
      <c r="C46" s="6"/>
      <c r="D46" s="7"/>
      <c r="E46" s="11"/>
      <c r="F46" s="6"/>
      <c r="G46" s="12" t="str">
        <f>IF(AND(F46&lt;=10, F46&gt;=9), "S", IF(F46&gt;=8, "A", IF(F46&gt;=7, "B", "C")))</f>
        <v>C</v>
      </c>
      <c r="H46" s="13">
        <f ca="1">YEAR(TODAY())-YEAR(D46)</f>
        <v>126</v>
      </c>
      <c r="I46" s="13" t="str">
        <f ca="1">IF(MOD(H46,10)=0,H46&amp;"周岁快乐","")</f>
        <v/>
      </c>
      <c r="J46" s="13" t="str">
        <f ca="1">IF(AND(MONTH(D46)=MONTH(TODAY()),DAY(D46)=DAY(TODAY())),"生日快乐","")</f>
        <v/>
      </c>
    </row>
    <row r="47" spans="1:10" ht="24.6" x14ac:dyDescent="0.4">
      <c r="A47" s="10"/>
      <c r="B47" s="6"/>
      <c r="C47" s="6"/>
      <c r="D47" s="7"/>
      <c r="E47" s="11"/>
      <c r="F47" s="6"/>
      <c r="G47" s="12"/>
      <c r="H47" s="13"/>
      <c r="I47" s="13"/>
      <c r="J47" s="13"/>
    </row>
    <row r="48" spans="1:10" ht="24.6" x14ac:dyDescent="0.4">
      <c r="A48" s="10"/>
      <c r="B48" s="6"/>
      <c r="C48" s="6"/>
      <c r="D48" s="7"/>
      <c r="E48" s="11"/>
      <c r="F48" s="6"/>
      <c r="G48" s="12"/>
      <c r="H48" s="13"/>
      <c r="I48" s="13"/>
      <c r="J48" s="13"/>
    </row>
    <row r="49" spans="1:10" ht="24.6" x14ac:dyDescent="0.4">
      <c r="A49" s="10"/>
      <c r="B49" s="6"/>
      <c r="C49" s="6"/>
      <c r="D49" s="7"/>
      <c r="E49" s="11"/>
      <c r="F49" s="6"/>
      <c r="G49" s="12"/>
      <c r="H49" s="13"/>
      <c r="I49" s="13"/>
      <c r="J49" s="13"/>
    </row>
    <row r="50" spans="1:10" ht="24.6" x14ac:dyDescent="0.4">
      <c r="A50" s="10"/>
      <c r="B50" s="6"/>
      <c r="C50" s="6"/>
      <c r="D50" s="7"/>
      <c r="E50" s="11"/>
      <c r="F50" s="6"/>
      <c r="G50" s="12"/>
      <c r="H50" s="13"/>
      <c r="I50" s="13"/>
      <c r="J50" s="13"/>
    </row>
    <row r="51" spans="1:10" ht="24.6" x14ac:dyDescent="0.4">
      <c r="A51" s="10"/>
      <c r="B51" s="6"/>
      <c r="C51" s="6"/>
      <c r="D51" s="7"/>
      <c r="E51" s="11"/>
      <c r="F51" s="6"/>
      <c r="G51" s="12"/>
      <c r="H51" s="13"/>
      <c r="I51" s="13"/>
      <c r="J51" s="13"/>
    </row>
    <row r="52" spans="1:10" ht="24.6" x14ac:dyDescent="0.4">
      <c r="A52" s="10"/>
      <c r="B52" s="6"/>
      <c r="C52" s="6"/>
      <c r="D52" s="7"/>
      <c r="E52" s="11"/>
      <c r="F52" s="6"/>
      <c r="G52" s="12"/>
      <c r="H52" s="13"/>
      <c r="I52" s="13"/>
      <c r="J52" s="13"/>
    </row>
    <row r="53" spans="1:10" ht="24.6" x14ac:dyDescent="0.4">
      <c r="A53" s="10"/>
      <c r="B53" s="6"/>
      <c r="C53" s="6"/>
      <c r="D53" s="7"/>
      <c r="E53" s="11"/>
      <c r="F53" s="6"/>
      <c r="G53" s="12"/>
      <c r="H53" s="13"/>
      <c r="I53" s="13"/>
      <c r="J53" s="13"/>
    </row>
    <row r="54" spans="1:10" ht="24.6" x14ac:dyDescent="0.4">
      <c r="A54" s="10"/>
      <c r="B54" s="6"/>
      <c r="C54" s="6"/>
      <c r="D54" s="7"/>
      <c r="E54" s="11"/>
      <c r="F54" s="6"/>
      <c r="G54" s="12"/>
      <c r="H54" s="13"/>
      <c r="I54" s="13"/>
      <c r="J54" s="13"/>
    </row>
    <row r="55" spans="1:10" ht="24.6" x14ac:dyDescent="0.4">
      <c r="A55" s="10"/>
      <c r="B55" s="6"/>
      <c r="C55" s="6"/>
      <c r="D55" s="7"/>
      <c r="E55" s="11"/>
      <c r="F55" s="6"/>
      <c r="G55" s="12"/>
      <c r="H55" s="13"/>
      <c r="I55" s="13"/>
      <c r="J55" s="13"/>
    </row>
    <row r="56" spans="1:10" ht="24.6" x14ac:dyDescent="0.4">
      <c r="A56" s="10"/>
      <c r="B56" s="6"/>
      <c r="C56" s="6"/>
      <c r="D56" s="7"/>
      <c r="E56" s="11"/>
      <c r="F56" s="6"/>
      <c r="G56" s="12"/>
      <c r="H56" s="13"/>
      <c r="I56" s="13"/>
      <c r="J56" s="13"/>
    </row>
    <row r="57" spans="1:10" ht="24.6" x14ac:dyDescent="0.4">
      <c r="A57" s="10"/>
      <c r="B57" s="6"/>
      <c r="C57" s="6"/>
      <c r="D57" s="7"/>
      <c r="E57" s="11"/>
      <c r="F57" s="6"/>
      <c r="G57" s="12"/>
      <c r="H57" s="13"/>
      <c r="I57" s="13"/>
      <c r="J57" s="13"/>
    </row>
    <row r="58" spans="1:10" ht="24.6" x14ac:dyDescent="0.4">
      <c r="A58" s="10"/>
      <c r="B58" s="6"/>
      <c r="C58" s="6"/>
      <c r="D58" s="7"/>
      <c r="E58" s="11"/>
      <c r="F58" s="6"/>
      <c r="G58" s="12"/>
      <c r="H58" s="13"/>
      <c r="I58" s="13"/>
      <c r="J58" s="13"/>
    </row>
    <row r="59" spans="1:10" ht="24.6" x14ac:dyDescent="0.4">
      <c r="A59" s="10"/>
      <c r="B59" s="6"/>
      <c r="C59" s="6"/>
      <c r="D59" s="7"/>
      <c r="E59" s="11"/>
      <c r="F59" s="6"/>
      <c r="G59" s="12"/>
      <c r="H59" s="13"/>
      <c r="I59" s="13"/>
      <c r="J59" s="13"/>
    </row>
    <row r="60" spans="1:10" ht="24.6" x14ac:dyDescent="0.4">
      <c r="A60" s="10"/>
      <c r="B60" s="6"/>
      <c r="C60" s="6"/>
      <c r="D60" s="7"/>
      <c r="E60" s="11"/>
      <c r="F60" s="6"/>
      <c r="G60" s="12"/>
      <c r="H60" s="13"/>
      <c r="I60" s="13"/>
      <c r="J60" s="13"/>
    </row>
    <row r="61" spans="1:10" ht="24.6" x14ac:dyDescent="0.4">
      <c r="A61" s="10"/>
      <c r="B61" s="6"/>
      <c r="C61" s="6"/>
      <c r="D61" s="7"/>
      <c r="E61" s="11"/>
      <c r="F61" s="6"/>
      <c r="G61" s="12"/>
      <c r="H61" s="13"/>
      <c r="I61" s="13"/>
      <c r="J61" s="13"/>
    </row>
    <row r="62" spans="1:10" ht="24.6" x14ac:dyDescent="0.4">
      <c r="A62" s="10"/>
      <c r="B62" s="6"/>
      <c r="C62" s="6"/>
      <c r="D62" s="7"/>
      <c r="E62" s="11"/>
      <c r="F62" s="6"/>
      <c r="G62" s="12"/>
      <c r="H62" s="13"/>
      <c r="I62" s="13"/>
      <c r="J62" s="13"/>
    </row>
    <row r="63" spans="1:10" ht="24.6" x14ac:dyDescent="0.4">
      <c r="A63" s="10"/>
      <c r="B63" s="6"/>
      <c r="C63" s="6"/>
      <c r="D63" s="7"/>
      <c r="E63" s="11"/>
      <c r="F63" s="6"/>
      <c r="G63" s="12"/>
      <c r="H63" s="13"/>
      <c r="I63" s="13"/>
      <c r="J63" s="13"/>
    </row>
    <row r="64" spans="1:10" ht="24.6" x14ac:dyDescent="0.4">
      <c r="A64" s="10"/>
      <c r="B64" s="6"/>
      <c r="C64" s="6"/>
      <c r="D64" s="7"/>
      <c r="E64" s="11"/>
      <c r="F64" s="6"/>
      <c r="G64" s="12"/>
      <c r="H64" s="13"/>
      <c r="I64" s="13"/>
      <c r="J64" s="13"/>
    </row>
    <row r="65" spans="1:10" ht="24.6" x14ac:dyDescent="0.4">
      <c r="A65" s="10"/>
      <c r="B65" s="6"/>
      <c r="C65" s="6"/>
      <c r="D65" s="7"/>
      <c r="E65" s="11"/>
      <c r="F65" s="6"/>
      <c r="G65" s="12"/>
      <c r="H65" s="13"/>
      <c r="I65" s="13"/>
      <c r="J65" s="13"/>
    </row>
    <row r="66" spans="1:10" ht="24.6" x14ac:dyDescent="0.4">
      <c r="A66" s="10"/>
      <c r="B66" s="6"/>
      <c r="C66" s="6"/>
      <c r="D66" s="7"/>
      <c r="E66" s="11"/>
      <c r="F66" s="6"/>
      <c r="G66" s="12"/>
      <c r="H66" s="13"/>
      <c r="I66" s="13"/>
      <c r="J66" s="13"/>
    </row>
    <row r="67" spans="1:10" ht="24.6" x14ac:dyDescent="0.4">
      <c r="A67" s="10"/>
      <c r="B67" s="6"/>
      <c r="C67" s="6"/>
      <c r="D67" s="7"/>
      <c r="E67" s="11"/>
      <c r="F67" s="6"/>
      <c r="G67" s="12"/>
      <c r="H67" s="13"/>
      <c r="I67" s="13"/>
      <c r="J67" s="13"/>
    </row>
    <row r="68" spans="1:10" ht="24.6" x14ac:dyDescent="0.4">
      <c r="A68" s="10"/>
      <c r="B68" s="6"/>
      <c r="C68" s="6"/>
      <c r="D68" s="7"/>
      <c r="E68" s="11"/>
      <c r="F68" s="6"/>
      <c r="G68" s="12"/>
      <c r="H68" s="13"/>
      <c r="I68" s="13"/>
      <c r="J68" s="13"/>
    </row>
    <row r="69" spans="1:10" ht="24.6" x14ac:dyDescent="0.4">
      <c r="A69" s="10"/>
      <c r="B69" s="6"/>
      <c r="C69" s="6"/>
      <c r="D69" s="7"/>
      <c r="E69" s="11"/>
      <c r="F69" s="6"/>
      <c r="G69" s="12"/>
      <c r="H69" s="13"/>
      <c r="I69" s="13"/>
      <c r="J69" s="13"/>
    </row>
    <row r="70" spans="1:10" ht="24.6" x14ac:dyDescent="0.4">
      <c r="A70" s="10"/>
      <c r="B70" s="6"/>
      <c r="C70" s="6"/>
      <c r="D70" s="7"/>
      <c r="E70" s="11"/>
      <c r="F70" s="6"/>
      <c r="G70" s="12"/>
      <c r="H70" s="13"/>
      <c r="I70" s="13"/>
      <c r="J70" s="13"/>
    </row>
    <row r="71" spans="1:10" ht="24.6" x14ac:dyDescent="0.4">
      <c r="A71" s="10"/>
      <c r="B71" s="6"/>
      <c r="C71" s="6"/>
      <c r="D71" s="7"/>
      <c r="E71" s="11"/>
      <c r="F71" s="6"/>
      <c r="G71" s="12"/>
      <c r="H71" s="13"/>
      <c r="I71" s="13"/>
      <c r="J71" s="13"/>
    </row>
    <row r="72" spans="1:10" ht="24.6" x14ac:dyDescent="0.4">
      <c r="A72" s="10"/>
      <c r="B72" s="6"/>
      <c r="C72" s="6"/>
      <c r="D72" s="7"/>
      <c r="E72" s="11"/>
      <c r="F72" s="6"/>
      <c r="G72" s="12"/>
      <c r="H72" s="13"/>
      <c r="I72" s="13"/>
      <c r="J72" s="13"/>
    </row>
    <row r="73" spans="1:10" ht="24.6" x14ac:dyDescent="0.4">
      <c r="A73" s="10"/>
      <c r="B73" s="6"/>
      <c r="C73" s="6"/>
      <c r="D73" s="7"/>
      <c r="E73" s="11"/>
      <c r="F73" s="6"/>
      <c r="G73" s="12"/>
      <c r="H73" s="13"/>
      <c r="I73" s="13"/>
      <c r="J73" s="13"/>
    </row>
    <row r="74" spans="1:10" ht="24.6" x14ac:dyDescent="0.4">
      <c r="A74" s="10"/>
      <c r="B74" s="6"/>
      <c r="C74" s="14"/>
      <c r="D74" s="7"/>
      <c r="E74" s="11"/>
      <c r="F74" s="6"/>
      <c r="G74" s="12"/>
      <c r="H74" s="13"/>
      <c r="I74" s="13"/>
      <c r="J74" s="13"/>
    </row>
    <row r="75" spans="1:10" ht="24.6" x14ac:dyDescent="0.4">
      <c r="A75" s="10"/>
      <c r="B75" s="6"/>
      <c r="C75" s="6"/>
      <c r="D75" s="7"/>
      <c r="E75" s="11"/>
      <c r="F75" s="6"/>
      <c r="G75" s="12"/>
      <c r="H75" s="13"/>
      <c r="I75" s="13"/>
      <c r="J75" s="13"/>
    </row>
    <row r="76" spans="1:10" ht="24.6" x14ac:dyDescent="0.4">
      <c r="A76" s="10"/>
      <c r="B76" s="6"/>
      <c r="C76" s="6"/>
      <c r="D76" s="7"/>
      <c r="E76" s="11"/>
      <c r="F76" s="6"/>
      <c r="G76" s="12"/>
      <c r="H76" s="13"/>
      <c r="I76" s="13"/>
      <c r="J76" s="13"/>
    </row>
    <row r="77" spans="1:10" ht="24.6" x14ac:dyDescent="0.4">
      <c r="A77" s="10"/>
      <c r="B77" s="6"/>
      <c r="C77" s="6"/>
      <c r="D77" s="7"/>
      <c r="E77" s="11"/>
      <c r="F77" s="6"/>
      <c r="G77" s="12"/>
      <c r="H77" s="13"/>
      <c r="I77" s="13"/>
      <c r="J77" s="13"/>
    </row>
    <row r="78" spans="1:10" ht="24.6" x14ac:dyDescent="0.4">
      <c r="A78" s="10"/>
      <c r="B78" s="6"/>
      <c r="C78" s="6"/>
      <c r="D78" s="7"/>
      <c r="E78" s="11"/>
      <c r="F78" s="6"/>
      <c r="G78" s="12"/>
      <c r="H78" s="13"/>
      <c r="I78" s="13"/>
      <c r="J78" s="13"/>
    </row>
    <row r="79" spans="1:10" ht="24.6" x14ac:dyDescent="0.4">
      <c r="A79" s="10"/>
      <c r="B79" s="6"/>
      <c r="C79" s="6"/>
      <c r="D79" s="7"/>
      <c r="E79" s="11"/>
      <c r="F79" s="6"/>
      <c r="G79" s="12"/>
      <c r="H79" s="13"/>
      <c r="I79" s="13"/>
      <c r="J79" s="13"/>
    </row>
    <row r="80" spans="1:10" ht="24.6" x14ac:dyDescent="0.4">
      <c r="A80" s="10"/>
      <c r="B80" s="6"/>
      <c r="C80" s="6"/>
      <c r="D80" s="7"/>
      <c r="E80" s="11"/>
      <c r="F80" s="6"/>
      <c r="G80" s="12"/>
      <c r="H80" s="13"/>
      <c r="I80" s="13"/>
      <c r="J80" s="13"/>
    </row>
    <row r="81" spans="1:10" ht="24.6" x14ac:dyDescent="0.4">
      <c r="A81" s="10"/>
      <c r="B81" s="6"/>
      <c r="C81" s="6"/>
      <c r="D81" s="7"/>
      <c r="E81" s="11"/>
      <c r="F81" s="6"/>
      <c r="G81" s="12"/>
      <c r="H81" s="13"/>
      <c r="I81" s="13"/>
      <c r="J81" s="13"/>
    </row>
    <row r="82" spans="1:10" ht="24.6" x14ac:dyDescent="0.4">
      <c r="A82" s="10"/>
      <c r="B82" s="6"/>
      <c r="C82" s="6"/>
      <c r="D82" s="7"/>
      <c r="E82" s="11"/>
      <c r="F82" s="6"/>
      <c r="G82" s="12"/>
      <c r="H82" s="13"/>
      <c r="I82" s="13"/>
      <c r="J82" s="13"/>
    </row>
    <row r="83" spans="1:10" ht="24.6" x14ac:dyDescent="0.4">
      <c r="A83" s="10"/>
      <c r="B83" s="6"/>
      <c r="C83" s="6"/>
      <c r="D83" s="7"/>
      <c r="E83" s="11"/>
      <c r="F83" s="6"/>
      <c r="G83" s="12"/>
      <c r="H83" s="13"/>
      <c r="I83" s="13"/>
      <c r="J83" s="13"/>
    </row>
    <row r="84" spans="1:10" ht="24.6" x14ac:dyDescent="0.4">
      <c r="A84" s="10"/>
      <c r="B84" s="6"/>
      <c r="C84" s="6"/>
      <c r="D84" s="7"/>
      <c r="E84" s="11"/>
      <c r="F84" s="6"/>
      <c r="G84" s="12"/>
      <c r="H84" s="13"/>
      <c r="I84" s="13"/>
      <c r="J84" s="13"/>
    </row>
    <row r="85" spans="1:10" ht="24.6" x14ac:dyDescent="0.4">
      <c r="A85" s="10"/>
      <c r="B85" s="6"/>
      <c r="C85" s="6"/>
      <c r="D85" s="7"/>
      <c r="E85" s="11"/>
      <c r="F85" s="6"/>
      <c r="G85" s="12"/>
      <c r="H85" s="13"/>
      <c r="I85" s="13"/>
      <c r="J85" s="13"/>
    </row>
    <row r="86" spans="1:10" ht="24.6" x14ac:dyDescent="0.4">
      <c r="A86" s="10"/>
      <c r="B86" s="6"/>
      <c r="C86" s="6"/>
      <c r="D86" s="7"/>
      <c r="E86" s="11"/>
      <c r="F86" s="6"/>
      <c r="G86" s="12"/>
      <c r="H86" s="13"/>
      <c r="I86" s="13"/>
      <c r="J86" s="13"/>
    </row>
    <row r="87" spans="1:10" ht="24.6" x14ac:dyDescent="0.4">
      <c r="A87" s="10"/>
      <c r="B87" s="6"/>
      <c r="C87" s="6"/>
      <c r="D87" s="7"/>
      <c r="E87" s="11"/>
      <c r="F87" s="6"/>
      <c r="G87" s="12"/>
      <c r="H87" s="13"/>
      <c r="I87" s="13"/>
      <c r="J87" s="13"/>
    </row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x14ac:dyDescent="0.25"/>
    <row r="98" x14ac:dyDescent="0.25"/>
    <row r="99" x14ac:dyDescent="0.25"/>
    <row r="100" x14ac:dyDescent="0.25"/>
  </sheetData>
  <autoFilter ref="A1:J46" xr:uid="{ADCD79ED-890A-413A-B3C3-74A8E5D1528F}"/>
  <sortState xmlns:xlrd2="http://schemas.microsoft.com/office/spreadsheetml/2017/richdata2" ref="A2:J87">
    <sortCondition descending="1" ref="F1:F87"/>
  </sortState>
  <phoneticPr fontId="1" type="noConversion"/>
  <conditionalFormatting sqref="G2:G87">
    <cfRule type="cellIs" dxfId="5" priority="3" operator="equal">
      <formula>"C"</formula>
    </cfRule>
    <cfRule type="cellIs" dxfId="4" priority="4" operator="equal">
      <formula>"B"</formula>
    </cfRule>
    <cfRule type="cellIs" dxfId="3" priority="5" operator="equal">
      <formula>"A"</formula>
    </cfRule>
    <cfRule type="cellIs" dxfId="2" priority="6" operator="equal">
      <formula>"S"</formula>
    </cfRule>
  </conditionalFormatting>
  <conditionalFormatting sqref="I2:I87">
    <cfRule type="notContainsBlanks" dxfId="1" priority="1">
      <formula>LEN(TRIM(I2))&gt;0</formula>
    </cfRule>
  </conditionalFormatting>
  <conditionalFormatting sqref="J2:J87">
    <cfRule type="containsText" dxfId="0" priority="2" operator="containsText" text="生日快乐">
      <formula>NOT(ISERROR(SEARCH("生日快乐",J2)))</formula>
    </cfRule>
  </conditionalFormatting>
  <dataValidations count="2">
    <dataValidation type="decimal" allowBlank="1" showInputMessage="1" showErrorMessage="1" sqref="F2:F87" xr:uid="{8F3C6B1F-7633-4AFD-BCB3-31539685CB09}">
      <formula1>6</formula1>
      <formula2>10</formula2>
    </dataValidation>
    <dataValidation type="list" allowBlank="1" showInputMessage="1" showErrorMessage="1" sqref="G2:G87" xr:uid="{6DF93AAA-80C3-4194-ACEA-023FEEE4D358}">
      <formula1>"S,A,B,C"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12CC-5374-4654-ACCE-35BF3B597870}">
  <dimension ref="A1:C4"/>
  <sheetViews>
    <sheetView zoomScale="160" zoomScaleNormal="160" workbookViewId="0">
      <selection activeCell="C6" sqref="C6"/>
    </sheetView>
  </sheetViews>
  <sheetFormatPr defaultRowHeight="13.8" x14ac:dyDescent="0.25"/>
  <cols>
    <col min="1" max="1" width="6.88671875" bestFit="1" customWidth="1"/>
    <col min="2" max="2" width="7.33203125" bestFit="1" customWidth="1"/>
    <col min="3" max="3" width="68.44140625" customWidth="1"/>
  </cols>
  <sheetData>
    <row r="1" spans="1:3" ht="17.399999999999999" x14ac:dyDescent="0.25">
      <c r="A1" s="3" t="s">
        <v>2</v>
      </c>
      <c r="B1" s="3" t="s">
        <v>4</v>
      </c>
      <c r="C1" s="3" t="s">
        <v>5</v>
      </c>
    </row>
    <row r="2" spans="1:3" ht="17.399999999999999" x14ac:dyDescent="0.25">
      <c r="A2" s="5">
        <v>1</v>
      </c>
      <c r="B2" s="1" t="s">
        <v>7</v>
      </c>
      <c r="C2" s="2" t="s">
        <v>10</v>
      </c>
    </row>
    <row r="3" spans="1:3" ht="17.399999999999999" x14ac:dyDescent="0.25">
      <c r="A3" s="5">
        <v>2</v>
      </c>
      <c r="B3" s="1" t="s">
        <v>6</v>
      </c>
      <c r="C3" s="2" t="s">
        <v>9</v>
      </c>
    </row>
    <row r="4" spans="1:3" ht="34.799999999999997" x14ac:dyDescent="0.25">
      <c r="A4" s="5">
        <v>3</v>
      </c>
      <c r="B4" s="1" t="s">
        <v>8</v>
      </c>
      <c r="C4" s="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桌面端</vt:lpstr>
      <vt:lpstr>移动端</vt:lpstr>
      <vt:lpstr>GalGame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陈涛</dc:creator>
  <cp:lastModifiedBy>涛 陈</cp:lastModifiedBy>
  <dcterms:created xsi:type="dcterms:W3CDTF">2015-06-05T18:19:34Z</dcterms:created>
  <dcterms:modified xsi:type="dcterms:W3CDTF">2026-09-26T11:14:55Z</dcterms:modified>
</cp:coreProperties>
</file>