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神专用\备份\成就系统-创造者\成就系统\"/>
    </mc:Choice>
  </mc:AlternateContent>
  <xr:revisionPtr revIDLastSave="0" documentId="13_ncr:1_{048FEC4B-537A-421B-885F-4BE9DD6CC03D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电影" sheetId="1" r:id="rId1"/>
    <sheet name="电视剧" sheetId="2" r:id="rId2"/>
    <sheet name="网剧专项" sheetId="3" r:id="rId3"/>
    <sheet name="说明" sheetId="4" r:id="rId4"/>
  </sheets>
  <definedNames>
    <definedName name="_xlnm._FilterDatabase" localSheetId="1" hidden="1">电视剧!$A$1:$J$12</definedName>
    <definedName name="_xlnm._FilterDatabase" localSheetId="0" hidden="1">电影!$A$1:$J$76</definedName>
    <definedName name="_xlnm._FilterDatabase" localSheetId="2" hidden="1">网剧专项!$A$1:$J$4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H12" i="2"/>
  <c r="I12" i="2" s="1"/>
  <c r="J12" i="2"/>
  <c r="G2" i="2"/>
  <c r="G3" i="2"/>
  <c r="G4" i="2"/>
  <c r="G5" i="2"/>
  <c r="G6" i="2"/>
  <c r="G7" i="2"/>
  <c r="G8" i="2"/>
  <c r="G9" i="2"/>
  <c r="G10" i="2"/>
  <c r="G11" i="2"/>
  <c r="G75" i="1"/>
  <c r="H75" i="1"/>
  <c r="I75" i="1" s="1"/>
  <c r="J75" i="1"/>
  <c r="G76" i="1"/>
  <c r="H76" i="1"/>
  <c r="I76" i="1" s="1"/>
  <c r="J76" i="1"/>
  <c r="H40" i="1"/>
  <c r="I40" i="1" s="1"/>
  <c r="J40" i="1"/>
  <c r="H41" i="1"/>
  <c r="I41" i="1" s="1"/>
  <c r="J41" i="1"/>
  <c r="G41" i="1"/>
  <c r="G40" i="1"/>
  <c r="G29" i="1"/>
  <c r="H29" i="1"/>
  <c r="I29" i="1" s="1"/>
  <c r="J29" i="1"/>
  <c r="G30" i="1"/>
  <c r="H30" i="1"/>
  <c r="I30" i="1" s="1"/>
  <c r="J30" i="1"/>
  <c r="G31" i="1"/>
  <c r="H31" i="1"/>
  <c r="I31" i="1" s="1"/>
  <c r="J31" i="1"/>
  <c r="G32" i="1"/>
  <c r="H32" i="1"/>
  <c r="I32" i="1" s="1"/>
  <c r="J32" i="1"/>
  <c r="G33" i="1"/>
  <c r="H33" i="1"/>
  <c r="I33" i="1" s="1"/>
  <c r="J33" i="1"/>
  <c r="G34" i="1"/>
  <c r="H34" i="1"/>
  <c r="I34" i="1" s="1"/>
  <c r="J34" i="1"/>
  <c r="G35" i="1"/>
  <c r="H35" i="1"/>
  <c r="I35" i="1" s="1"/>
  <c r="J35" i="1"/>
  <c r="G36" i="1"/>
  <c r="H36" i="1"/>
  <c r="I36" i="1" s="1"/>
  <c r="J36" i="1"/>
  <c r="G37" i="1"/>
  <c r="H37" i="1"/>
  <c r="I37" i="1" s="1"/>
  <c r="J37" i="1"/>
  <c r="G38" i="1"/>
  <c r="H38" i="1"/>
  <c r="I38" i="1" s="1"/>
  <c r="J38" i="1"/>
  <c r="G39" i="1"/>
  <c r="H39" i="1"/>
  <c r="I39" i="1" s="1"/>
  <c r="J39" i="1"/>
  <c r="G42" i="1"/>
  <c r="H42" i="1"/>
  <c r="I42" i="1" s="1"/>
  <c r="J42" i="1"/>
  <c r="G43" i="1"/>
  <c r="H43" i="1"/>
  <c r="I43" i="1" s="1"/>
  <c r="J43" i="1"/>
  <c r="G44" i="1"/>
  <c r="H44" i="1"/>
  <c r="I44" i="1" s="1"/>
  <c r="J44" i="1"/>
  <c r="G45" i="1"/>
  <c r="H45" i="1"/>
  <c r="I45" i="1" s="1"/>
  <c r="J45" i="1"/>
  <c r="G46" i="1"/>
  <c r="H46" i="1"/>
  <c r="I46" i="1" s="1"/>
  <c r="J46" i="1"/>
  <c r="G47" i="1"/>
  <c r="H47" i="1"/>
  <c r="I47" i="1" s="1"/>
  <c r="J47" i="1"/>
  <c r="G48" i="1"/>
  <c r="H48" i="1"/>
  <c r="I48" i="1" s="1"/>
  <c r="J48" i="1"/>
  <c r="G49" i="1"/>
  <c r="H49" i="1"/>
  <c r="I49" i="1" s="1"/>
  <c r="J49" i="1"/>
  <c r="G50" i="1"/>
  <c r="H50" i="1"/>
  <c r="I50" i="1" s="1"/>
  <c r="J50" i="1"/>
  <c r="G51" i="1"/>
  <c r="H51" i="1"/>
  <c r="I51" i="1" s="1"/>
  <c r="J51" i="1"/>
  <c r="G52" i="1"/>
  <c r="H52" i="1"/>
  <c r="I52" i="1" s="1"/>
  <c r="J52" i="1"/>
  <c r="G53" i="1"/>
  <c r="H53" i="1"/>
  <c r="I53" i="1" s="1"/>
  <c r="J53" i="1"/>
  <c r="G54" i="1"/>
  <c r="H54" i="1"/>
  <c r="I54" i="1" s="1"/>
  <c r="J54" i="1"/>
  <c r="G55" i="1"/>
  <c r="H55" i="1"/>
  <c r="I55" i="1" s="1"/>
  <c r="J55" i="1"/>
  <c r="G56" i="1"/>
  <c r="H56" i="1"/>
  <c r="I56" i="1" s="1"/>
  <c r="J56" i="1"/>
  <c r="G57" i="1"/>
  <c r="H57" i="1"/>
  <c r="I57" i="1" s="1"/>
  <c r="J57" i="1"/>
  <c r="G58" i="1"/>
  <c r="H58" i="1"/>
  <c r="I58" i="1" s="1"/>
  <c r="J58" i="1"/>
  <c r="G59" i="1"/>
  <c r="H59" i="1"/>
  <c r="I59" i="1" s="1"/>
  <c r="J59" i="1"/>
  <c r="G60" i="1"/>
  <c r="H60" i="1"/>
  <c r="I60" i="1" s="1"/>
  <c r="J60" i="1"/>
  <c r="G61" i="1"/>
  <c r="H61" i="1"/>
  <c r="I61" i="1" s="1"/>
  <c r="J61" i="1"/>
  <c r="G62" i="1"/>
  <c r="H62" i="1"/>
  <c r="I62" i="1" s="1"/>
  <c r="J62" i="1"/>
  <c r="G63" i="1"/>
  <c r="H63" i="1"/>
  <c r="I63" i="1" s="1"/>
  <c r="J63" i="1"/>
  <c r="G64" i="1"/>
  <c r="H64" i="1"/>
  <c r="I64" i="1" s="1"/>
  <c r="J64" i="1"/>
  <c r="G65" i="1"/>
  <c r="H65" i="1"/>
  <c r="I65" i="1" s="1"/>
  <c r="J65" i="1"/>
  <c r="G66" i="1"/>
  <c r="H66" i="1"/>
  <c r="I66" i="1" s="1"/>
  <c r="J66" i="1"/>
  <c r="G67" i="1"/>
  <c r="H67" i="1"/>
  <c r="I67" i="1" s="1"/>
  <c r="J67" i="1"/>
  <c r="G68" i="1"/>
  <c r="H68" i="1"/>
  <c r="I68" i="1" s="1"/>
  <c r="J68" i="1"/>
  <c r="G69" i="1"/>
  <c r="H69" i="1"/>
  <c r="I69" i="1" s="1"/>
  <c r="J69" i="1"/>
  <c r="G70" i="1"/>
  <c r="H70" i="1"/>
  <c r="I70" i="1" s="1"/>
  <c r="J70" i="1"/>
  <c r="G71" i="1"/>
  <c r="H71" i="1"/>
  <c r="I71" i="1" s="1"/>
  <c r="J71" i="1"/>
  <c r="G72" i="1"/>
  <c r="H72" i="1"/>
  <c r="I72" i="1" s="1"/>
  <c r="J72" i="1"/>
  <c r="G73" i="1"/>
  <c r="H73" i="1"/>
  <c r="I73" i="1" s="1"/>
  <c r="J73" i="1"/>
  <c r="G74" i="1"/>
  <c r="H74" i="1"/>
  <c r="I74" i="1" s="1"/>
  <c r="J74" i="1"/>
  <c r="G4" i="1"/>
  <c r="H4" i="1"/>
  <c r="I4" i="1" s="1"/>
  <c r="J4" i="1"/>
  <c r="G5" i="1"/>
  <c r="H5" i="1"/>
  <c r="I5" i="1" s="1"/>
  <c r="J5" i="1"/>
  <c r="G6" i="1"/>
  <c r="H6" i="1"/>
  <c r="I6" i="1" s="1"/>
  <c r="J6" i="1"/>
  <c r="G7" i="1"/>
  <c r="H7" i="1"/>
  <c r="I7" i="1" s="1"/>
  <c r="J7" i="1"/>
  <c r="G8" i="1"/>
  <c r="H8" i="1"/>
  <c r="I8" i="1" s="1"/>
  <c r="J8" i="1"/>
  <c r="G9" i="1"/>
  <c r="H9" i="1"/>
  <c r="I9" i="1" s="1"/>
  <c r="J9" i="1"/>
  <c r="G10" i="1"/>
  <c r="H10" i="1"/>
  <c r="I10" i="1" s="1"/>
  <c r="J10" i="1"/>
  <c r="G11" i="1"/>
  <c r="H11" i="1"/>
  <c r="I11" i="1" s="1"/>
  <c r="J11" i="1"/>
  <c r="G12" i="1"/>
  <c r="H12" i="1"/>
  <c r="I12" i="1" s="1"/>
  <c r="J12" i="1"/>
  <c r="G13" i="1"/>
  <c r="H13" i="1"/>
  <c r="I13" i="1" s="1"/>
  <c r="J13" i="1"/>
  <c r="G14" i="1"/>
  <c r="H14" i="1"/>
  <c r="I14" i="1" s="1"/>
  <c r="J14" i="1"/>
  <c r="G15" i="1"/>
  <c r="H15" i="1"/>
  <c r="I15" i="1" s="1"/>
  <c r="J15" i="1"/>
  <c r="G16" i="1"/>
  <c r="H16" i="1"/>
  <c r="I16" i="1" s="1"/>
  <c r="J16" i="1"/>
  <c r="G17" i="1"/>
  <c r="H17" i="1"/>
  <c r="I17" i="1" s="1"/>
  <c r="J17" i="1"/>
  <c r="G18" i="1"/>
  <c r="H18" i="1"/>
  <c r="I18" i="1" s="1"/>
  <c r="J18" i="1"/>
  <c r="G19" i="1"/>
  <c r="H19" i="1"/>
  <c r="I19" i="1" s="1"/>
  <c r="J19" i="1"/>
  <c r="G20" i="1"/>
  <c r="H20" i="1"/>
  <c r="I20" i="1" s="1"/>
  <c r="J20" i="1"/>
  <c r="G21" i="1"/>
  <c r="H21" i="1"/>
  <c r="I21" i="1" s="1"/>
  <c r="J21" i="1"/>
  <c r="G22" i="1"/>
  <c r="H22" i="1"/>
  <c r="I22" i="1" s="1"/>
  <c r="J22" i="1"/>
  <c r="G23" i="1"/>
  <c r="H23" i="1"/>
  <c r="I23" i="1" s="1"/>
  <c r="J23" i="1"/>
  <c r="G24" i="1"/>
  <c r="H24" i="1"/>
  <c r="I24" i="1" s="1"/>
  <c r="J24" i="1"/>
  <c r="G25" i="1"/>
  <c r="H25" i="1"/>
  <c r="I25" i="1" s="1"/>
  <c r="J25" i="1"/>
  <c r="G26" i="1"/>
  <c r="H26" i="1"/>
  <c r="I26" i="1" s="1"/>
  <c r="J26" i="1"/>
  <c r="G27" i="1"/>
  <c r="H27" i="1"/>
  <c r="I27" i="1" s="1"/>
  <c r="J27" i="1"/>
  <c r="G28" i="1"/>
  <c r="H28" i="1"/>
  <c r="I28" i="1" s="1"/>
  <c r="J28" i="1"/>
  <c r="G4" i="3"/>
  <c r="H4" i="3"/>
  <c r="I4" i="3" s="1"/>
  <c r="J4" i="3"/>
  <c r="H9" i="2"/>
  <c r="I9" i="2" s="1"/>
  <c r="J9" i="2"/>
  <c r="H11" i="2"/>
  <c r="I11" i="2" s="1"/>
  <c r="J11" i="2"/>
  <c r="H5" i="2"/>
  <c r="I5" i="2" s="1"/>
  <c r="J5" i="2"/>
  <c r="H8" i="2"/>
  <c r="I8" i="2" s="1"/>
  <c r="J8" i="2"/>
  <c r="H4" i="2"/>
  <c r="I4" i="2" s="1"/>
  <c r="J4" i="2"/>
  <c r="H3" i="2"/>
  <c r="I3" i="2" s="1"/>
  <c r="J3" i="2"/>
  <c r="H7" i="2"/>
  <c r="I7" i="2" s="1"/>
  <c r="J7" i="2"/>
  <c r="H10" i="2"/>
  <c r="I10" i="2" s="1"/>
  <c r="J10" i="2"/>
  <c r="H6" i="2"/>
  <c r="I6" i="2" s="1"/>
  <c r="J6" i="2"/>
  <c r="J2" i="1"/>
  <c r="H2" i="1"/>
  <c r="I2" i="1" s="1"/>
  <c r="G2" i="1"/>
  <c r="J3" i="1"/>
  <c r="H3" i="1"/>
  <c r="I3" i="1" s="1"/>
  <c r="G3" i="1"/>
  <c r="J2" i="2"/>
  <c r="H2" i="2"/>
  <c r="I2" i="2" s="1"/>
  <c r="G3" i="3"/>
  <c r="H3" i="3"/>
  <c r="I3" i="3" s="1"/>
  <c r="J3" i="3"/>
  <c r="J2" i="3"/>
  <c r="H2" i="3"/>
  <c r="I2" i="3" s="1"/>
  <c r="G2" i="3"/>
</calcChain>
</file>

<file path=xl/sharedStrings.xml><?xml version="1.0" encoding="utf-8"?>
<sst xmlns="http://schemas.openxmlformats.org/spreadsheetml/2006/main" count="300" uniqueCount="178">
  <si>
    <t>简介</t>
    <phoneticPr fontId="1" type="noConversion"/>
  </si>
  <si>
    <t>评价</t>
    <phoneticPr fontId="1" type="noConversion"/>
  </si>
  <si>
    <t>序号</t>
    <phoneticPr fontId="1" type="noConversion"/>
  </si>
  <si>
    <t>日期</t>
    <phoneticPr fontId="1" type="noConversion"/>
  </si>
  <si>
    <t>符号</t>
    <phoneticPr fontId="1" type="noConversion"/>
  </si>
  <si>
    <t>说明</t>
    <phoneticPr fontId="1" type="noConversion"/>
  </si>
  <si>
    <t>[ ]</t>
    <phoneticPr fontId="1" type="noConversion"/>
  </si>
  <si>
    <t>( )</t>
    <phoneticPr fontId="1" type="noConversion"/>
  </si>
  <si>
    <t>【 】</t>
    <phoneticPr fontId="1" type="noConversion"/>
  </si>
  <si>
    <t>别称(小范围)</t>
    <phoneticPr fontId="1" type="noConversion"/>
  </si>
  <si>
    <t>内容涵盖(大范围)</t>
    <phoneticPr fontId="1" type="noConversion"/>
  </si>
  <si>
    <t>“外”代表非本地，“解”代表缺解说，成就可以更完美。
其余，汉字表示情绪；数字表示集数。</t>
    <phoneticPr fontId="1" type="noConversion"/>
  </si>
  <si>
    <t>+++</t>
  </si>
  <si>
    <t>评分(10)</t>
    <phoneticPr fontId="1" type="noConversion"/>
  </si>
  <si>
    <t>进度(+ == 25%)</t>
    <phoneticPr fontId="1" type="noConversion"/>
  </si>
  <si>
    <t>周年</t>
    <phoneticPr fontId="1" type="noConversion"/>
  </si>
  <si>
    <t>生日</t>
    <phoneticPr fontId="1" type="noConversion"/>
  </si>
  <si>
    <t>周岁</t>
    <phoneticPr fontId="1" type="noConversion"/>
  </si>
  <si>
    <t>名称</t>
    <phoneticPr fontId="1" type="noConversion"/>
  </si>
  <si>
    <t>(第一部---，第二部---，第三部---)</t>
  </si>
  <si>
    <t>肖申克的救赎</t>
  </si>
  <si>
    <t>(美国剧情片)</t>
  </si>
  <si>
    <t>霸王别姬</t>
  </si>
  <si>
    <t>(国内文艺片)</t>
  </si>
  <si>
    <t>盗梦空间</t>
  </si>
  <si>
    <t>(美国动作科幻片)</t>
  </si>
  <si>
    <t>星际穿越</t>
  </si>
  <si>
    <t>(美英科幻片)</t>
  </si>
  <si>
    <t>黑客帝国</t>
  </si>
  <si>
    <t>(第一部---，第二部(重装上阵)---，第三部(矩阵革命)---，第四部(矩阵重启)---，)</t>
  </si>
  <si>
    <t>让子弹飞</t>
  </si>
  <si>
    <t>(国内剧情片)</t>
  </si>
  <si>
    <t>活着</t>
  </si>
  <si>
    <t>(国产文艺剧情片)</t>
  </si>
  <si>
    <t>茶馆</t>
  </si>
  <si>
    <t>楚门的世界</t>
  </si>
  <si>
    <t>信条</t>
  </si>
  <si>
    <t>(美国动作惊悚片)</t>
  </si>
  <si>
    <t>海上钢琴师</t>
  </si>
  <si>
    <t>(意大利剧情片)</t>
  </si>
  <si>
    <t>白日梦想家</t>
  </si>
  <si>
    <t>(美国奇幻剧情片)</t>
  </si>
  <si>
    <t>绿皮书</t>
  </si>
  <si>
    <t>致命魔术</t>
  </si>
  <si>
    <t>(美国悬疑惊悚片)</t>
  </si>
  <si>
    <t>蝴蝶效应</t>
  </si>
  <si>
    <t>(第一部---，第二部---，第三部(启示)---)</t>
  </si>
  <si>
    <t>一个人的武林</t>
  </si>
  <si>
    <t>(国内动作片)</t>
  </si>
  <si>
    <t>何以为家</t>
  </si>
  <si>
    <t>(黎巴嫩、法国、美国剧情片)</t>
  </si>
  <si>
    <t>我经过风暴</t>
  </si>
  <si>
    <t>(国产家庭剧情片)</t>
  </si>
  <si>
    <t>无人知晓</t>
  </si>
  <si>
    <t>(日本剧情片)</t>
  </si>
  <si>
    <t>隐入尘烟</t>
  </si>
  <si>
    <t>恐怖游轮</t>
  </si>
  <si>
    <t>(英国、澳大利亚剧情悬疑片)</t>
  </si>
  <si>
    <t>前目的地</t>
  </si>
  <si>
    <t>(澳大利亚科幻惊悚片)</t>
  </si>
  <si>
    <t>飞跃疯人院</t>
  </si>
  <si>
    <t>林中小屋</t>
  </si>
  <si>
    <t>(美国悬疑恐怖片)</t>
  </si>
  <si>
    <t>寄生兽</t>
  </si>
  <si>
    <t>(日本科幻剧情片)</t>
  </si>
  <si>
    <t>​遗传厄​运</t>
  </si>
  <si>
    <t>(美国恐怖片)</t>
  </si>
  <si>
    <t>奥本海默</t>
  </si>
  <si>
    <t>(美国人物传记片)</t>
  </si>
  <si>
    <t>红海行动</t>
  </si>
  <si>
    <t>(第一部，第二部【虎鲸行动】)</t>
  </si>
  <si>
    <t>战狼</t>
  </si>
  <si>
    <t>(第一部，第二部)</t>
  </si>
  <si>
    <t>流浪地球</t>
  </si>
  <si>
    <t>环太平洋</t>
  </si>
  <si>
    <t>(第一部，第二部【雷霆再起】)</t>
  </si>
  <si>
    <t>移动迷宫</t>
  </si>
  <si>
    <t>(第一部---，第二部---，第三部【死亡解药】---)</t>
  </si>
  <si>
    <t>隐形人</t>
  </si>
  <si>
    <t>(美国科幻惊悚片)</t>
  </si>
  <si>
    <t>恐惧街</t>
  </si>
  <si>
    <t>深海</t>
  </si>
  <si>
    <t>(国内奇幻动画片)</t>
  </si>
  <si>
    <t>忠犬八公的故事</t>
  </si>
  <si>
    <t>(美英剧情片)</t>
  </si>
  <si>
    <t>一条狗的使命</t>
  </si>
  <si>
    <t>这个杀手不太冷</t>
  </si>
  <si>
    <t>(美法动作片)</t>
  </si>
  <si>
    <t>长津湖</t>
  </si>
  <si>
    <t>(国内抗美援朝片)</t>
  </si>
  <si>
    <t>举起手来</t>
  </si>
  <si>
    <t>(第一部(十面攻敌)---，第二部(追击阿多丸号)---)</t>
  </si>
  <si>
    <t>一步之遥</t>
  </si>
  <si>
    <t>冒牌天神</t>
  </si>
  <si>
    <t>(第一部---，第二部---)</t>
  </si>
  <si>
    <t>八角笼中</t>
  </si>
  <si>
    <t>(国产体育励志片)</t>
  </si>
  <si>
    <t>灵媒</t>
  </si>
  <si>
    <t>(泰国惊悚片)</t>
  </si>
  <si>
    <t>招魂</t>
  </si>
  <si>
    <t>潜伏</t>
  </si>
  <si>
    <t>(第一部---，第二部---，第三部---，第四部---，第五部---)</t>
  </si>
  <si>
    <t>猛鬼街</t>
  </si>
  <si>
    <t>(第一部---，第二部---，第三部---，第四部---，第五部---，第六部---，第七部---，第八部---，外传【弗莱迪大战杰森】---)</t>
  </si>
  <si>
    <t>致命感应</t>
  </si>
  <si>
    <t>仲夏夜惊魂</t>
  </si>
  <si>
    <t>逃出绝命镇</t>
  </si>
  <si>
    <t>(美国恐怖惊悚片)</t>
  </si>
  <si>
    <t>死寂</t>
  </si>
  <si>
    <t>(美国惊悚恐怖片)</t>
  </si>
  <si>
    <t>速度与激情</t>
  </si>
  <si>
    <t>(第一部---，第二部【飙风再起】---，第三部【东京漂移】---，第四部---，第五部---，第六部---，第七部---，第八部---，第九部---，第十部---，特别行动---，)</t>
  </si>
  <si>
    <t>珀尔​</t>
  </si>
  <si>
    <t>X</t>
  </si>
  <si>
    <t>故事的故事</t>
  </si>
  <si>
    <t>(意大利奇幻片)</t>
  </si>
  <si>
    <t>圣鹿之死</t>
  </si>
  <si>
    <t>(英国奇幻惊悚影片)</t>
  </si>
  <si>
    <t>女巫</t>
  </si>
  <si>
    <t>(2015---，2020---)</t>
  </si>
  <si>
    <t>鬼来电</t>
  </si>
  <si>
    <t>马粥街残酷史</t>
  </si>
  <si>
    <t>(韩国动作爱情片)</t>
  </si>
  <si>
    <t>源代码</t>
  </si>
  <si>
    <t>(美法剧情片)</t>
  </si>
  <si>
    <t>明日边缘</t>
  </si>
  <si>
    <t>(美国科幻动作片)</t>
  </si>
  <si>
    <t>时空罪恶</t>
  </si>
  <si>
    <t>(西班牙科幻惊悚悬疑片)</t>
  </si>
  <si>
    <t>忌日快乐</t>
  </si>
  <si>
    <t>土拨鼠之日</t>
  </si>
  <si>
    <t>(美国奇幻片)</t>
  </si>
  <si>
    <t>罗拉快跑</t>
  </si>
  <si>
    <t>(德国犯罪爱情片)</t>
  </si>
  <si>
    <t>飞驰人生</t>
  </si>
  <si>
    <t>(第一部---，第二部---，国产励志喜剧片)</t>
  </si>
  <si>
    <t>云边有个小卖部</t>
  </si>
  <si>
    <t>热辣滚烫</t>
  </si>
  <si>
    <t>(国产喜剧片)</t>
  </si>
  <si>
    <t>上海堡垒</t>
  </si>
  <si>
    <t>(国产科幻搞笑片)</t>
  </si>
  <si>
    <t>灯塔</t>
  </si>
  <si>
    <t>(2016版---，2019版---)</t>
  </si>
  <si>
    <t>++++</t>
    <phoneticPr fontId="1" type="noConversion"/>
  </si>
  <si>
    <t>Hello!树先生</t>
    <phoneticPr fontId="1" type="noConversion"/>
  </si>
  <si>
    <t>周星驰系列</t>
  </si>
  <si>
    <t>林正英系列</t>
  </si>
  <si>
    <t>(僵尸先生系列(1---，僵尸家族---，灵幻先生---，僵尸叔叔---，一眉道人---，驱魔警察---，新僵尸先生---，)---，音乐僵尸---，猛鬼旅行团---，驱魔道长---，非洲和尚---，僵尸至尊---，人吓人---，人吓鬼---，人鬼神[灵幻至尊]---，鬼打鬼(1---，鬼打鬼之黄金道士[鬼打鬼之灵幻天师]---)---，鬼咬鬼---，富贵列车---，甩皮鬼[金装鬼打鬼]---，咸鱼翻身---，妖怪都市---，离线枕边人---，东方秃鹰---，败家仔---，洪福齐天---，青蜂侠---，时来运转---，灵界风云[太阳之子]---，中国最后一个太监---，唐山大兄---,密宗威龙---，舞台姐妹---，学校风云---，英雄无泪---，肥龙功夫精---，铁甲无敌玛利亚---，少年英雄之方世玉洪熙官---，画皮之阴阳法王---，钟馗嫁妹---，赞先生与找钱华---，笑傲侠义黄大仙---，奇谋妙计五福星---，血玫瑰---，追魂伞(零时十分)---，纬来版-羞羞鬼---，精灵变---，)</t>
  </si>
  <si>
    <t>(功夫---，大话西游(月光宝盒---，仙履情缘[大圣娶亲]---)---，长江七号---，鹿鼎记(1---，2---)---，逃学威龙(1---，2---，3---)---，回魂夜---，济公---，整蛊专家---，武状元苏乞儿---，唐伯虎点秋香---，九品芝麻官---，百变星君---，玻璃樽---，大内密探零零发---，美人鱼---，少林足球---，望夫成龙---，赌侠(1---，2(上海滩情圣)---)---，西游降魔篇---，西游伏妖篇---，国产凌凌漆---，家有喜事---，龙的传人---，审死官---，破坏之王---，无敌幸运星---，师兄撞鬼---，霹雳先锋---，喜剧之王---，新喜剧之王---，)</t>
    <phoneticPr fontId="1" type="noConversion"/>
  </si>
  <si>
    <t>济公</t>
  </si>
  <si>
    <t>(老版[济公1---，济公活佛---，济公游记---])</t>
  </si>
  <si>
    <t>燕双鹰</t>
  </si>
  <si>
    <t>(英雄---，猎鹰1949---，飞虎神鹰---，孤岛飞鹰---，大漠枪神---，津门飞鹰---)</t>
  </si>
  <si>
    <t>燕双鹰番外</t>
  </si>
  <si>
    <t>(平原烽火---，神探包青天---，石敢当之雄峙天东---，飞虎队---)</t>
  </si>
  <si>
    <t>神探狄仁杰</t>
  </si>
  <si>
    <t>(第一部---，第二部---，第三部---，第四部(神断狄仁杰)---，第五部(神探狄仁杰4)---)</t>
  </si>
  <si>
    <t>神探狄仁杰番外</t>
  </si>
  <si>
    <t>(神探狄仁杰前传---，少年神探狄仁杰---)</t>
  </si>
  <si>
    <t>爱情公寓</t>
  </si>
  <si>
    <t>(第一季---，第二季---，第三季---，第四季---，第五季---，番外篇[开心原力---，辣味英雄传(第一季---，第二季---)---]---，大电影[盗墓笔记]---)</t>
  </si>
  <si>
    <t>我是特种兵之子弹上膛</t>
  </si>
  <si>
    <t>(全集共25集)</t>
  </si>
  <si>
    <t>魔幻手机</t>
  </si>
  <si>
    <t>(第一部---，第二部(傻妞归来)---)</t>
  </si>
  <si>
    <t>岁月</t>
  </si>
  <si>
    <t>(国产职场都市情感剧)</t>
  </si>
  <si>
    <t>平凡的世界</t>
  </si>
  <si>
    <t>(国产文艺电视剧)</t>
  </si>
  <si>
    <t>白鹿原</t>
  </si>
  <si>
    <t>(国产文艺片)</t>
  </si>
  <si>
    <t>轮回派对</t>
  </si>
  <si>
    <t>(第一季---，第二季---)</t>
  </si>
  <si>
    <t>暗黑</t>
  </si>
  <si>
    <t>(第一季，第二季，第三季)</t>
  </si>
  <si>
    <t>三级</t>
  </si>
  <si>
    <t>+</t>
    <phoneticPr fontId="1" type="noConversion"/>
  </si>
  <si>
    <t>(赶尸艳谈---，聊斋艳谭之灯草和尚---，素女经之挑情宝鉴---，春潮烂漫海棠红[曼蒂的觉醒]---，)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</si>
</sst>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m&quot;月&quot;dd&quot;日&quot;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4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8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76" fontId="6" fillId="5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31" fontId="5" fillId="0" borderId="0" xfId="0" applyNumberFormat="1" applyFont="1" applyAlignment="1">
      <alignment horizontal="center" vertical="center"/>
    </xf>
    <xf numFmtId="31" fontId="5" fillId="0" borderId="0" xfId="0" quotePrefix="1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18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"/>
  <sheetViews>
    <sheetView zoomScale="85" zoomScaleNormal="85" workbookViewId="0">
      <pane ySplit="1" topLeftCell="A53" activePane="bottomLeft" state="frozen"/>
      <selection activeCell="C1" sqref="C1"/>
      <selection pane="bottomLeft" activeCell="C79" sqref="C79"/>
    </sheetView>
  </sheetViews>
  <sheetFormatPr defaultColWidth="0" defaultRowHeight="13.8" zeroHeight="1" x14ac:dyDescent="0.25"/>
  <cols>
    <col min="1" max="1" width="14.109375" bestFit="1" customWidth="1"/>
    <col min="2" max="2" width="44.33203125" bestFit="1" customWidth="1"/>
    <col min="3" max="3" width="110.6640625" customWidth="1"/>
    <col min="4" max="4" width="23.5546875" bestFit="1" customWidth="1"/>
    <col min="5" max="5" width="35.88671875" bestFit="1" customWidth="1"/>
    <col min="6" max="6" width="21.44140625" bestFit="1" customWidth="1"/>
    <col min="7" max="8" width="14.109375" bestFit="1" customWidth="1"/>
    <col min="9" max="9" width="14.21875" bestFit="1" customWidth="1"/>
    <col min="10" max="10" width="14.109375" bestFit="1" customWidth="1"/>
    <col min="11" max="16384" width="8.88671875" hidden="1"/>
  </cols>
  <sheetData>
    <row r="1" spans="1:10" ht="25.8" x14ac:dyDescent="0.25">
      <c r="A1" s="8" t="s">
        <v>2</v>
      </c>
      <c r="B1" s="8" t="s">
        <v>18</v>
      </c>
      <c r="C1" s="8" t="s">
        <v>0</v>
      </c>
      <c r="D1" s="9" t="s">
        <v>3</v>
      </c>
      <c r="E1" s="8" t="s">
        <v>14</v>
      </c>
      <c r="F1" s="8" t="s">
        <v>13</v>
      </c>
      <c r="G1" s="8" t="s">
        <v>1</v>
      </c>
      <c r="H1" s="8" t="s">
        <v>15</v>
      </c>
      <c r="I1" s="8" t="s">
        <v>17</v>
      </c>
      <c r="J1" s="8" t="s">
        <v>16</v>
      </c>
    </row>
    <row r="2" spans="1:10" ht="24.6" x14ac:dyDescent="0.4">
      <c r="A2" s="10">
        <v>1</v>
      </c>
      <c r="B2" s="6" t="s">
        <v>22</v>
      </c>
      <c r="C2" s="6" t="s">
        <v>23</v>
      </c>
      <c r="D2" s="7">
        <v>33970</v>
      </c>
      <c r="E2" s="11" t="s">
        <v>143</v>
      </c>
      <c r="F2" s="6">
        <v>10</v>
      </c>
      <c r="G2" s="12" t="str">
        <f>IF(AND(F2&lt;=10, F2&gt;=9), "S", IF(F2&gt;=8, "A", IF(F2&gt;=7, "B", "C")))</f>
        <v>S</v>
      </c>
      <c r="H2" s="13">
        <f ca="1">YEAR(TODAY())-YEAR(D2)</f>
        <v>33</v>
      </c>
      <c r="I2" s="13" t="str">
        <f ca="1">IF(MOD(H2,10)=0,H2&amp;"周岁快乐","")</f>
        <v/>
      </c>
      <c r="J2" s="13" t="str">
        <f ca="1">IF(AND(MONTH(D2)=MONTH(TODAY()),DAY(D2)=DAY(TODAY())),"生日快乐","")</f>
        <v/>
      </c>
    </row>
    <row r="3" spans="1:10" ht="24.6" x14ac:dyDescent="0.4">
      <c r="A3" s="10">
        <v>2</v>
      </c>
      <c r="B3" s="6" t="s">
        <v>20</v>
      </c>
      <c r="C3" s="6" t="s">
        <v>21</v>
      </c>
      <c r="D3" s="7">
        <v>34587</v>
      </c>
      <c r="E3" s="11" t="s">
        <v>143</v>
      </c>
      <c r="F3" s="6">
        <v>9.9</v>
      </c>
      <c r="G3" s="12" t="str">
        <f>IF(AND(F3&lt;=10, F3&gt;=9), "S", IF(F3&gt;=8, "A", IF(F3&gt;=7, "B", "C")))</f>
        <v>S</v>
      </c>
      <c r="H3" s="13">
        <f ca="1">YEAR(TODAY())-YEAR(D3)</f>
        <v>32</v>
      </c>
      <c r="I3" s="13" t="str">
        <f ca="1">IF(MOD(H3,10)=0,H3&amp;"周岁快乐","")</f>
        <v/>
      </c>
      <c r="J3" s="13" t="str">
        <f ca="1">IF(AND(MONTH(D3)=MONTH(TODAY()),DAY(D3)=DAY(TODAY())),"生日快乐","")</f>
        <v/>
      </c>
    </row>
    <row r="4" spans="1:10" ht="24.6" x14ac:dyDescent="0.4">
      <c r="A4" s="10">
        <v>3</v>
      </c>
      <c r="B4" s="6" t="s">
        <v>24</v>
      </c>
      <c r="C4" s="6" t="s">
        <v>25</v>
      </c>
      <c r="D4" s="7">
        <v>40375</v>
      </c>
      <c r="E4" s="11" t="s">
        <v>143</v>
      </c>
      <c r="F4" s="6">
        <v>9.9</v>
      </c>
      <c r="G4" s="12" t="str">
        <f>IF(AND(F4&lt;=10, F4&gt;=9), "S", IF(F4&gt;=8, "A", IF(F4&gt;=7, "B", "C")))</f>
        <v>S</v>
      </c>
      <c r="H4" s="13">
        <f ca="1">YEAR(TODAY())-YEAR(D4)</f>
        <v>16</v>
      </c>
      <c r="I4" s="13" t="str">
        <f ca="1">IF(MOD(H4,10)=0,H4&amp;"周岁快乐","")</f>
        <v/>
      </c>
      <c r="J4" s="13" t="str">
        <f ca="1">IF(AND(MONTH(D4)=MONTH(TODAY()),DAY(D4)=DAY(TODAY())),"生日快乐","")</f>
        <v/>
      </c>
    </row>
    <row r="5" spans="1:10" ht="24.6" x14ac:dyDescent="0.4">
      <c r="A5" s="10">
        <v>4</v>
      </c>
      <c r="B5" s="6" t="s">
        <v>26</v>
      </c>
      <c r="C5" s="6" t="s">
        <v>27</v>
      </c>
      <c r="D5" s="7">
        <v>41948</v>
      </c>
      <c r="E5" s="11" t="s">
        <v>143</v>
      </c>
      <c r="F5" s="6">
        <v>9.9</v>
      </c>
      <c r="G5" s="12" t="str">
        <f>IF(AND(F5&lt;=10, F5&gt;=9), "S", IF(F5&gt;=8, "A", IF(F5&gt;=7, "B", "C")))</f>
        <v>S</v>
      </c>
      <c r="H5" s="13">
        <f ca="1">YEAR(TODAY())-YEAR(D5)</f>
        <v>12</v>
      </c>
      <c r="I5" s="13" t="str">
        <f ca="1">IF(MOD(H5,10)=0,H5&amp;"周岁快乐","")</f>
        <v/>
      </c>
      <c r="J5" s="13" t="str">
        <f ca="1">IF(AND(MONTH(D5)=MONTH(TODAY()),DAY(D5)=DAY(TODAY())),"生日快乐","")</f>
        <v/>
      </c>
    </row>
    <row r="6" spans="1:10" ht="24.6" x14ac:dyDescent="0.4">
      <c r="A6" s="10">
        <v>5</v>
      </c>
      <c r="B6" s="6" t="s">
        <v>28</v>
      </c>
      <c r="C6" s="6" t="s">
        <v>29</v>
      </c>
      <c r="D6" s="7">
        <v>36250</v>
      </c>
      <c r="E6" s="11" t="s">
        <v>12</v>
      </c>
      <c r="F6" s="6">
        <v>9.9</v>
      </c>
      <c r="G6" s="12" t="str">
        <f>IF(AND(F6&lt;=10, F6&gt;=9), "S", IF(F6&gt;=8, "A", IF(F6&gt;=7, "B", "C")))</f>
        <v>S</v>
      </c>
      <c r="H6" s="13">
        <f ca="1">YEAR(TODAY())-YEAR(D6)</f>
        <v>27</v>
      </c>
      <c r="I6" s="13" t="str">
        <f ca="1">IF(MOD(H6,10)=0,H6&amp;"周岁快乐","")</f>
        <v/>
      </c>
      <c r="J6" s="13" t="str">
        <f ca="1">IF(AND(MONTH(D6)=MONTH(TODAY()),DAY(D6)=DAY(TODAY())),"生日快乐","")</f>
        <v/>
      </c>
    </row>
    <row r="7" spans="1:10" ht="24.6" x14ac:dyDescent="0.4">
      <c r="A7" s="10">
        <v>6</v>
      </c>
      <c r="B7" s="6" t="s">
        <v>30</v>
      </c>
      <c r="C7" s="6" t="s">
        <v>31</v>
      </c>
      <c r="D7" s="7">
        <v>40528</v>
      </c>
      <c r="E7" s="11" t="s">
        <v>143</v>
      </c>
      <c r="F7" s="6">
        <v>9.9</v>
      </c>
      <c r="G7" s="12" t="str">
        <f>IF(AND(F7&lt;=10, F7&gt;=9), "S", IF(F7&gt;=8, "A", IF(F7&gt;=7, "B", "C")))</f>
        <v>S</v>
      </c>
      <c r="H7" s="13">
        <f ca="1">YEAR(TODAY())-YEAR(D7)</f>
        <v>16</v>
      </c>
      <c r="I7" s="13" t="str">
        <f ca="1">IF(MOD(H7,10)=0,H7&amp;"周岁快乐","")</f>
        <v/>
      </c>
      <c r="J7" s="13" t="str">
        <f ca="1">IF(AND(MONTH(D7)=MONTH(TODAY()),DAY(D7)=DAY(TODAY())),"生日快乐","")</f>
        <v/>
      </c>
    </row>
    <row r="8" spans="1:10" ht="24.6" x14ac:dyDescent="0.4">
      <c r="A8" s="10">
        <v>7</v>
      </c>
      <c r="B8" s="6" t="s">
        <v>32</v>
      </c>
      <c r="C8" s="6" t="s">
        <v>33</v>
      </c>
      <c r="D8" s="7">
        <v>34515</v>
      </c>
      <c r="E8" s="11" t="s">
        <v>143</v>
      </c>
      <c r="F8" s="6">
        <v>9.9</v>
      </c>
      <c r="G8" s="12" t="str">
        <f>IF(AND(F8&lt;=10, F8&gt;=9), "S", IF(F8&gt;=8, "A", IF(F8&gt;=7, "B", "C")))</f>
        <v>S</v>
      </c>
      <c r="H8" s="13">
        <f ca="1">YEAR(TODAY())-YEAR(D8)</f>
        <v>32</v>
      </c>
      <c r="I8" s="13" t="str">
        <f ca="1">IF(MOD(H8,10)=0,H8&amp;"周岁快乐","")</f>
        <v/>
      </c>
      <c r="J8" s="13" t="str">
        <f ca="1">IF(AND(MONTH(D8)=MONTH(TODAY()),DAY(D8)=DAY(TODAY())),"生日快乐","")</f>
        <v/>
      </c>
    </row>
    <row r="9" spans="1:10" ht="24.6" x14ac:dyDescent="0.4">
      <c r="A9" s="10">
        <v>8</v>
      </c>
      <c r="B9" s="6" t="s">
        <v>34</v>
      </c>
      <c r="C9" s="6" t="s">
        <v>33</v>
      </c>
      <c r="D9" s="7">
        <v>29952</v>
      </c>
      <c r="E9" s="11" t="s">
        <v>143</v>
      </c>
      <c r="F9" s="6">
        <v>9.9</v>
      </c>
      <c r="G9" s="12" t="str">
        <f>IF(AND(F9&lt;=10, F9&gt;=9), "S", IF(F9&gt;=8, "A", IF(F9&gt;=7, "B", "C")))</f>
        <v>S</v>
      </c>
      <c r="H9" s="13">
        <f ca="1">YEAR(TODAY())-YEAR(D9)</f>
        <v>44</v>
      </c>
      <c r="I9" s="13" t="str">
        <f ca="1">IF(MOD(H9,10)=0,H9&amp;"周岁快乐","")</f>
        <v/>
      </c>
      <c r="J9" s="13" t="str">
        <f ca="1">IF(AND(MONTH(D9)=MONTH(TODAY()),DAY(D9)=DAY(TODAY())),"生日快乐","")</f>
        <v/>
      </c>
    </row>
    <row r="10" spans="1:10" ht="24.6" x14ac:dyDescent="0.4">
      <c r="A10" s="10">
        <v>9</v>
      </c>
      <c r="B10" s="6" t="s">
        <v>35</v>
      </c>
      <c r="C10" s="6" t="s">
        <v>21</v>
      </c>
      <c r="D10" s="7">
        <v>35951</v>
      </c>
      <c r="E10" s="11" t="s">
        <v>143</v>
      </c>
      <c r="F10" s="6">
        <v>9.9</v>
      </c>
      <c r="G10" s="12" t="str">
        <f>IF(AND(F10&lt;=10, F10&gt;=9), "S", IF(F10&gt;=8, "A", IF(F10&gt;=7, "B", "C")))</f>
        <v>S</v>
      </c>
      <c r="H10" s="13">
        <f ca="1">YEAR(TODAY())-YEAR(D10)</f>
        <v>28</v>
      </c>
      <c r="I10" s="13" t="str">
        <f ca="1">IF(MOD(H10,10)=0,H10&amp;"周岁快乐","")</f>
        <v/>
      </c>
      <c r="J10" s="13" t="str">
        <f ca="1">IF(AND(MONTH(D10)=MONTH(TODAY()),DAY(D10)=DAY(TODAY())),"生日快乐","")</f>
        <v/>
      </c>
    </row>
    <row r="11" spans="1:10" ht="24.6" x14ac:dyDescent="0.4">
      <c r="A11" s="10">
        <v>10</v>
      </c>
      <c r="B11" s="6" t="s">
        <v>36</v>
      </c>
      <c r="C11" s="6" t="s">
        <v>37</v>
      </c>
      <c r="D11" s="7">
        <v>44078</v>
      </c>
      <c r="E11" s="11" t="s">
        <v>143</v>
      </c>
      <c r="F11" s="6">
        <v>9.9</v>
      </c>
      <c r="G11" s="12" t="str">
        <f>IF(AND(F11&lt;=10, F11&gt;=9), "S", IF(F11&gt;=8, "A", IF(F11&gt;=7, "B", "C")))</f>
        <v>S</v>
      </c>
      <c r="H11" s="13">
        <f ca="1">YEAR(TODAY())-YEAR(D11)</f>
        <v>6</v>
      </c>
      <c r="I11" s="13" t="str">
        <f ca="1">IF(MOD(H11,10)=0,H11&amp;"周岁快乐","")</f>
        <v/>
      </c>
      <c r="J11" s="13" t="str">
        <f ca="1">IF(AND(MONTH(D11)=MONTH(TODAY()),DAY(D11)=DAY(TODAY())),"生日快乐","")</f>
        <v/>
      </c>
    </row>
    <row r="12" spans="1:10" ht="24.6" x14ac:dyDescent="0.4">
      <c r="A12" s="10">
        <v>11</v>
      </c>
      <c r="B12" s="6" t="s">
        <v>38</v>
      </c>
      <c r="C12" s="6" t="s">
        <v>39</v>
      </c>
      <c r="D12" s="7">
        <v>36096</v>
      </c>
      <c r="E12" s="11" t="s">
        <v>143</v>
      </c>
      <c r="F12" s="6">
        <v>9.9</v>
      </c>
      <c r="G12" s="12" t="str">
        <f>IF(AND(F12&lt;=10, F12&gt;=9), "S", IF(F12&gt;=8, "A", IF(F12&gt;=7, "B", "C")))</f>
        <v>S</v>
      </c>
      <c r="H12" s="13">
        <f ca="1">YEAR(TODAY())-YEAR(D12)</f>
        <v>28</v>
      </c>
      <c r="I12" s="13" t="str">
        <f ca="1">IF(MOD(H12,10)=0,H12&amp;"周岁快乐","")</f>
        <v/>
      </c>
      <c r="J12" s="13" t="str">
        <f ca="1">IF(AND(MONTH(D12)=MONTH(TODAY()),DAY(D12)=DAY(TODAY())),"生日快乐","")</f>
        <v/>
      </c>
    </row>
    <row r="13" spans="1:10" ht="24.6" x14ac:dyDescent="0.4">
      <c r="A13" s="10">
        <v>12</v>
      </c>
      <c r="B13" s="6" t="s">
        <v>40</v>
      </c>
      <c r="C13" s="6" t="s">
        <v>41</v>
      </c>
      <c r="D13" s="7">
        <v>41633</v>
      </c>
      <c r="E13" s="11" t="s">
        <v>143</v>
      </c>
      <c r="F13" s="6">
        <v>9.9</v>
      </c>
      <c r="G13" s="12" t="str">
        <f>IF(AND(F13&lt;=10, F13&gt;=9), "S", IF(F13&gt;=8, "A", IF(F13&gt;=7, "B", "C")))</f>
        <v>S</v>
      </c>
      <c r="H13" s="13">
        <f ca="1">YEAR(TODAY())-YEAR(D13)</f>
        <v>13</v>
      </c>
      <c r="I13" s="13" t="str">
        <f ca="1">IF(MOD(H13,10)=0,H13&amp;"周岁快乐","")</f>
        <v/>
      </c>
      <c r="J13" s="13" t="str">
        <f ca="1">IF(AND(MONTH(D13)=MONTH(TODAY()),DAY(D13)=DAY(TODAY())),"生日快乐","")</f>
        <v/>
      </c>
    </row>
    <row r="14" spans="1:10" ht="24.6" x14ac:dyDescent="0.4">
      <c r="A14" s="10">
        <v>13</v>
      </c>
      <c r="B14" s="6" t="s">
        <v>42</v>
      </c>
      <c r="C14" s="6" t="s">
        <v>21</v>
      </c>
      <c r="D14" s="7">
        <v>43354</v>
      </c>
      <c r="E14" s="11" t="s">
        <v>143</v>
      </c>
      <c r="F14" s="6">
        <v>9.9</v>
      </c>
      <c r="G14" s="12" t="str">
        <f>IF(AND(F14&lt;=10, F14&gt;=9), "S", IF(F14&gt;=8, "A", IF(F14&gt;=7, "B", "C")))</f>
        <v>S</v>
      </c>
      <c r="H14" s="13">
        <f ca="1">YEAR(TODAY())-YEAR(D14)</f>
        <v>8</v>
      </c>
      <c r="I14" s="13" t="str">
        <f ca="1">IF(MOD(H14,10)=0,H14&amp;"周岁快乐","")</f>
        <v/>
      </c>
      <c r="J14" s="13" t="str">
        <f ca="1">IF(AND(MONTH(D14)=MONTH(TODAY()),DAY(D14)=DAY(TODAY())),"生日快乐","")</f>
        <v/>
      </c>
    </row>
    <row r="15" spans="1:10" ht="24.6" x14ac:dyDescent="0.4">
      <c r="A15" s="10">
        <v>14</v>
      </c>
      <c r="B15" s="6" t="s">
        <v>43</v>
      </c>
      <c r="C15" s="6" t="s">
        <v>44</v>
      </c>
      <c r="D15" s="7">
        <v>39010</v>
      </c>
      <c r="E15" s="11" t="s">
        <v>143</v>
      </c>
      <c r="F15" s="6">
        <v>9.9</v>
      </c>
      <c r="G15" s="12" t="str">
        <f>IF(AND(F15&lt;=10, F15&gt;=9), "S", IF(F15&gt;=8, "A", IF(F15&gt;=7, "B", "C")))</f>
        <v>S</v>
      </c>
      <c r="H15" s="13">
        <f ca="1">YEAR(TODAY())-YEAR(D15)</f>
        <v>20</v>
      </c>
      <c r="I15" s="13" t="str">
        <f ca="1">IF(MOD(H15,10)=0,H15&amp;"周岁快乐","")</f>
        <v>20周岁快乐</v>
      </c>
      <c r="J15" s="13" t="str">
        <f ca="1">IF(AND(MONTH(D15)=MONTH(TODAY()),DAY(D15)=DAY(TODAY())),"生日快乐","")</f>
        <v/>
      </c>
    </row>
    <row r="16" spans="1:10" ht="24.6" x14ac:dyDescent="0.4">
      <c r="A16" s="10">
        <v>15</v>
      </c>
      <c r="B16" s="6" t="s">
        <v>45</v>
      </c>
      <c r="C16" s="6" t="s">
        <v>46</v>
      </c>
      <c r="D16" s="7">
        <v>38009</v>
      </c>
      <c r="E16" s="11" t="s">
        <v>143</v>
      </c>
      <c r="F16" s="6">
        <v>9.9</v>
      </c>
      <c r="G16" s="12" t="str">
        <f>IF(AND(F16&lt;=10, F16&gt;=9), "S", IF(F16&gt;=8, "A", IF(F16&gt;=7, "B", "C")))</f>
        <v>S</v>
      </c>
      <c r="H16" s="13">
        <f ca="1">YEAR(TODAY())-YEAR(D16)</f>
        <v>22</v>
      </c>
      <c r="I16" s="13" t="str">
        <f ca="1">IF(MOD(H16,10)=0,H16&amp;"周岁快乐","")</f>
        <v/>
      </c>
      <c r="J16" s="13" t="str">
        <f ca="1">IF(AND(MONTH(D16)=MONTH(TODAY()),DAY(D16)=DAY(TODAY())),"生日快乐","")</f>
        <v/>
      </c>
    </row>
    <row r="17" spans="1:10" ht="24.6" x14ac:dyDescent="0.4">
      <c r="A17" s="10">
        <v>16</v>
      </c>
      <c r="B17" s="6" t="s">
        <v>144</v>
      </c>
      <c r="C17" s="6" t="s">
        <v>31</v>
      </c>
      <c r="D17" s="7">
        <v>40851</v>
      </c>
      <c r="E17" s="11" t="s">
        <v>143</v>
      </c>
      <c r="F17" s="6">
        <v>9.9</v>
      </c>
      <c r="G17" s="12" t="str">
        <f>IF(AND(F17&lt;=10, F17&gt;=9), "S", IF(F17&gt;=8, "A", IF(F17&gt;=7, "B", "C")))</f>
        <v>S</v>
      </c>
      <c r="H17" s="13">
        <f ca="1">YEAR(TODAY())-YEAR(D17)</f>
        <v>15</v>
      </c>
      <c r="I17" s="13" t="str">
        <f ca="1">IF(MOD(H17,10)=0,H17&amp;"周岁快乐","")</f>
        <v/>
      </c>
      <c r="J17" s="13" t="str">
        <f ca="1">IF(AND(MONTH(D17)=MONTH(TODAY()),DAY(D17)=DAY(TODAY())),"生日快乐","")</f>
        <v/>
      </c>
    </row>
    <row r="18" spans="1:10" ht="24.6" x14ac:dyDescent="0.4">
      <c r="A18" s="10">
        <v>17</v>
      </c>
      <c r="B18" s="6" t="s">
        <v>47</v>
      </c>
      <c r="C18" s="6" t="s">
        <v>48</v>
      </c>
      <c r="D18" s="7">
        <v>41943</v>
      </c>
      <c r="E18" s="11" t="s">
        <v>143</v>
      </c>
      <c r="F18" s="6">
        <v>9.9</v>
      </c>
      <c r="G18" s="12" t="str">
        <f>IF(AND(F18&lt;=10, F18&gt;=9), "S", IF(F18&gt;=8, "A", IF(F18&gt;=7, "B", "C")))</f>
        <v>S</v>
      </c>
      <c r="H18" s="13">
        <f ca="1">YEAR(TODAY())-YEAR(D18)</f>
        <v>12</v>
      </c>
      <c r="I18" s="13" t="str">
        <f ca="1">IF(MOD(H18,10)=0,H18&amp;"周岁快乐","")</f>
        <v/>
      </c>
      <c r="J18" s="13" t="str">
        <f ca="1">IF(AND(MONTH(D18)=MONTH(TODAY()),DAY(D18)=DAY(TODAY())),"生日快乐","")</f>
        <v/>
      </c>
    </row>
    <row r="19" spans="1:10" ht="24.6" x14ac:dyDescent="0.4">
      <c r="A19" s="10">
        <v>18</v>
      </c>
      <c r="B19" s="6" t="s">
        <v>49</v>
      </c>
      <c r="C19" s="6" t="s">
        <v>50</v>
      </c>
      <c r="D19" s="7">
        <v>43584</v>
      </c>
      <c r="E19" s="11" t="s">
        <v>143</v>
      </c>
      <c r="F19" s="6">
        <v>9.9</v>
      </c>
      <c r="G19" s="12" t="str">
        <f>IF(AND(F19&lt;=10, F19&gt;=9), "S", IF(F19&gt;=8, "A", IF(F19&gt;=7, "B", "C")))</f>
        <v>S</v>
      </c>
      <c r="H19" s="13">
        <f ca="1">YEAR(TODAY())-YEAR(D19)</f>
        <v>7</v>
      </c>
      <c r="I19" s="13" t="str">
        <f ca="1">IF(MOD(H19,10)=0,H19&amp;"周岁快乐","")</f>
        <v/>
      </c>
      <c r="J19" s="13" t="str">
        <f ca="1">IF(AND(MONTH(D19)=MONTH(TODAY()),DAY(D19)=DAY(TODAY())),"生日快乐","")</f>
        <v/>
      </c>
    </row>
    <row r="20" spans="1:10" ht="24.6" x14ac:dyDescent="0.4">
      <c r="A20" s="10">
        <v>19</v>
      </c>
      <c r="B20" s="6" t="s">
        <v>51</v>
      </c>
      <c r="C20" s="6" t="s">
        <v>52</v>
      </c>
      <c r="D20" s="7">
        <v>45155</v>
      </c>
      <c r="E20" s="11" t="s">
        <v>143</v>
      </c>
      <c r="F20" s="6">
        <v>9.9</v>
      </c>
      <c r="G20" s="12" t="str">
        <f>IF(AND(F20&lt;=10, F20&gt;=9), "S", IF(F20&gt;=8, "A", IF(F20&gt;=7, "B", "C")))</f>
        <v>S</v>
      </c>
      <c r="H20" s="13">
        <f ca="1">YEAR(TODAY())-YEAR(D20)</f>
        <v>3</v>
      </c>
      <c r="I20" s="13" t="str">
        <f ca="1">IF(MOD(H20,10)=0,H20&amp;"周岁快乐","")</f>
        <v/>
      </c>
      <c r="J20" s="13" t="str">
        <f ca="1">IF(AND(MONTH(D20)=MONTH(TODAY()),DAY(D20)=DAY(TODAY())),"生日快乐","")</f>
        <v/>
      </c>
    </row>
    <row r="21" spans="1:10" ht="24.6" x14ac:dyDescent="0.4">
      <c r="A21" s="10">
        <v>20</v>
      </c>
      <c r="B21" s="6" t="s">
        <v>53</v>
      </c>
      <c r="C21" s="6" t="s">
        <v>54</v>
      </c>
      <c r="D21" s="7">
        <v>38206</v>
      </c>
      <c r="E21" s="11" t="s">
        <v>143</v>
      </c>
      <c r="F21" s="6">
        <v>9.9</v>
      </c>
      <c r="G21" s="12" t="str">
        <f>IF(AND(F21&lt;=10, F21&gt;=9), "S", IF(F21&gt;=8, "A", IF(F21&gt;=7, "B", "C")))</f>
        <v>S</v>
      </c>
      <c r="H21" s="13">
        <f ca="1">YEAR(TODAY())-YEAR(D21)</f>
        <v>22</v>
      </c>
      <c r="I21" s="13" t="str">
        <f ca="1">IF(MOD(H21,10)=0,H21&amp;"周岁快乐","")</f>
        <v/>
      </c>
      <c r="J21" s="13" t="str">
        <f ca="1">IF(AND(MONTH(D21)=MONTH(TODAY()),DAY(D21)=DAY(TODAY())),"生日快乐","")</f>
        <v/>
      </c>
    </row>
    <row r="22" spans="1:10" ht="24.6" x14ac:dyDescent="0.4">
      <c r="A22" s="10">
        <v>21</v>
      </c>
      <c r="B22" s="6" t="s">
        <v>55</v>
      </c>
      <c r="C22" s="6" t="s">
        <v>31</v>
      </c>
      <c r="D22" s="7">
        <v>44750</v>
      </c>
      <c r="E22" s="11" t="s">
        <v>143</v>
      </c>
      <c r="F22" s="6">
        <v>9.9</v>
      </c>
      <c r="G22" s="12" t="str">
        <f>IF(AND(F22&lt;=10, F22&gt;=9), "S", IF(F22&gt;=8, "A", IF(F22&gt;=7, "B", "C")))</f>
        <v>S</v>
      </c>
      <c r="H22" s="13">
        <f ca="1">YEAR(TODAY())-YEAR(D22)</f>
        <v>4</v>
      </c>
      <c r="I22" s="13" t="str">
        <f ca="1">IF(MOD(H22,10)=0,H22&amp;"周岁快乐","")</f>
        <v/>
      </c>
      <c r="J22" s="13" t="str">
        <f ca="1">IF(AND(MONTH(D22)=MONTH(TODAY()),DAY(D22)=DAY(TODAY())),"生日快乐","")</f>
        <v/>
      </c>
    </row>
    <row r="23" spans="1:10" ht="24.6" x14ac:dyDescent="0.4">
      <c r="A23" s="10">
        <v>22</v>
      </c>
      <c r="B23" s="6" t="s">
        <v>56</v>
      </c>
      <c r="C23" s="6" t="s">
        <v>57</v>
      </c>
      <c r="D23" s="7">
        <v>40102</v>
      </c>
      <c r="E23" s="11" t="s">
        <v>143</v>
      </c>
      <c r="F23" s="6">
        <v>9.9</v>
      </c>
      <c r="G23" s="12" t="str">
        <f>IF(AND(F23&lt;=10, F23&gt;=9), "S", IF(F23&gt;=8, "A", IF(F23&gt;=7, "B", "C")))</f>
        <v>S</v>
      </c>
      <c r="H23" s="13">
        <f ca="1">YEAR(TODAY())-YEAR(D23)</f>
        <v>17</v>
      </c>
      <c r="I23" s="13" t="str">
        <f ca="1">IF(MOD(H23,10)=0,H23&amp;"周岁快乐","")</f>
        <v/>
      </c>
      <c r="J23" s="13" t="str">
        <f ca="1">IF(AND(MONTH(D23)=MONTH(TODAY()),DAY(D23)=DAY(TODAY())),"生日快乐","")</f>
        <v/>
      </c>
    </row>
    <row r="24" spans="1:10" ht="24.6" x14ac:dyDescent="0.4">
      <c r="A24" s="10">
        <v>23</v>
      </c>
      <c r="B24" s="6" t="s">
        <v>58</v>
      </c>
      <c r="C24" s="6" t="s">
        <v>59</v>
      </c>
      <c r="D24" s="7">
        <v>41879</v>
      </c>
      <c r="E24" s="11" t="s">
        <v>143</v>
      </c>
      <c r="F24" s="6">
        <v>9.9</v>
      </c>
      <c r="G24" s="12" t="str">
        <f>IF(AND(F24&lt;=10, F24&gt;=9), "S", IF(F24&gt;=8, "A", IF(F24&gt;=7, "B", "C")))</f>
        <v>S</v>
      </c>
      <c r="H24" s="13">
        <f ca="1">YEAR(TODAY())-YEAR(D24)</f>
        <v>12</v>
      </c>
      <c r="I24" s="13" t="str">
        <f ca="1">IF(MOD(H24,10)=0,H24&amp;"周岁快乐","")</f>
        <v/>
      </c>
      <c r="J24" s="13" t="str">
        <f ca="1">IF(AND(MONTH(D24)=MONTH(TODAY()),DAY(D24)=DAY(TODAY())),"生日快乐","")</f>
        <v/>
      </c>
    </row>
    <row r="25" spans="1:10" ht="24.6" x14ac:dyDescent="0.4">
      <c r="A25" s="10">
        <v>24</v>
      </c>
      <c r="B25" s="6" t="s">
        <v>60</v>
      </c>
      <c r="C25" s="6" t="s">
        <v>21</v>
      </c>
      <c r="D25" s="7">
        <v>27717</v>
      </c>
      <c r="E25" s="11" t="s">
        <v>143</v>
      </c>
      <c r="F25" s="6">
        <v>9.8000000000000007</v>
      </c>
      <c r="G25" s="12" t="str">
        <f>IF(AND(F25&lt;=10, F25&gt;=9), "S", IF(F25&gt;=8, "A", IF(F25&gt;=7, "B", "C")))</f>
        <v>S</v>
      </c>
      <c r="H25" s="13">
        <f ca="1">YEAR(TODAY())-YEAR(D25)</f>
        <v>51</v>
      </c>
      <c r="I25" s="13" t="str">
        <f ca="1">IF(MOD(H25,10)=0,H25&amp;"周岁快乐","")</f>
        <v/>
      </c>
      <c r="J25" s="13" t="str">
        <f ca="1">IF(AND(MONTH(D25)=MONTH(TODAY()),DAY(D25)=DAY(TODAY())),"生日快乐","")</f>
        <v/>
      </c>
    </row>
    <row r="26" spans="1:10" ht="24.6" x14ac:dyDescent="0.4">
      <c r="A26" s="10">
        <v>25</v>
      </c>
      <c r="B26" s="6" t="s">
        <v>61</v>
      </c>
      <c r="C26" s="6" t="s">
        <v>62</v>
      </c>
      <c r="D26" s="7">
        <v>41012</v>
      </c>
      <c r="E26" s="11" t="s">
        <v>143</v>
      </c>
      <c r="F26" s="6">
        <v>9.8000000000000007</v>
      </c>
      <c r="G26" s="12" t="str">
        <f>IF(AND(F26&lt;=10, F26&gt;=9), "S", IF(F26&gt;=8, "A", IF(F26&gt;=7, "B", "C")))</f>
        <v>S</v>
      </c>
      <c r="H26" s="13">
        <f ca="1">YEAR(TODAY())-YEAR(D26)</f>
        <v>14</v>
      </c>
      <c r="I26" s="13" t="str">
        <f ca="1">IF(MOD(H26,10)=0,H26&amp;"周岁快乐","")</f>
        <v/>
      </c>
      <c r="J26" s="13" t="str">
        <f ca="1">IF(AND(MONTH(D26)=MONTH(TODAY()),DAY(D26)=DAY(TODAY())),"生日快乐","")</f>
        <v/>
      </c>
    </row>
    <row r="27" spans="1:10" ht="24.6" x14ac:dyDescent="0.4">
      <c r="A27" s="10">
        <v>26</v>
      </c>
      <c r="B27" s="6" t="s">
        <v>63</v>
      </c>
      <c r="C27" s="6" t="s">
        <v>64</v>
      </c>
      <c r="D27" s="7">
        <v>41972</v>
      </c>
      <c r="E27" s="11" t="s">
        <v>143</v>
      </c>
      <c r="F27" s="6">
        <v>9.8000000000000007</v>
      </c>
      <c r="G27" s="12" t="str">
        <f>IF(AND(F27&lt;=10, F27&gt;=9), "S", IF(F27&gt;=8, "A", IF(F27&gt;=7, "B", "C")))</f>
        <v>S</v>
      </c>
      <c r="H27" s="13">
        <f ca="1">YEAR(TODAY())-YEAR(D27)</f>
        <v>12</v>
      </c>
      <c r="I27" s="13" t="str">
        <f ca="1">IF(MOD(H27,10)=0,H27&amp;"周岁快乐","")</f>
        <v/>
      </c>
      <c r="J27" s="13" t="str">
        <f ca="1">IF(AND(MONTH(D27)=MONTH(TODAY()),DAY(D27)=DAY(TODAY())),"生日快乐","")</f>
        <v/>
      </c>
    </row>
    <row r="28" spans="1:10" ht="24.6" x14ac:dyDescent="0.4">
      <c r="A28" s="10">
        <v>27</v>
      </c>
      <c r="B28" s="6" t="s">
        <v>65</v>
      </c>
      <c r="C28" s="6" t="s">
        <v>66</v>
      </c>
      <c r="D28" s="7">
        <v>43259</v>
      </c>
      <c r="E28" s="11" t="s">
        <v>143</v>
      </c>
      <c r="F28" s="6">
        <v>9.8000000000000007</v>
      </c>
      <c r="G28" s="12" t="str">
        <f>IF(AND(F28&lt;=10, F28&gt;=9), "S", IF(F28&gt;=8, "A", IF(F28&gt;=7, "B", "C")))</f>
        <v>S</v>
      </c>
      <c r="H28" s="13">
        <f ca="1">YEAR(TODAY())-YEAR(D28)</f>
        <v>8</v>
      </c>
      <c r="I28" s="13" t="str">
        <f ca="1">IF(MOD(H28,10)=0,H28&amp;"周岁快乐","")</f>
        <v/>
      </c>
      <c r="J28" s="13" t="str">
        <f ca="1">IF(AND(MONTH(D28)=MONTH(TODAY()),DAY(D28)=DAY(TODAY())),"生日快乐","")</f>
        <v/>
      </c>
    </row>
    <row r="29" spans="1:10" ht="24.6" x14ac:dyDescent="0.4">
      <c r="A29" s="10">
        <v>28</v>
      </c>
      <c r="B29" s="6" t="s">
        <v>67</v>
      </c>
      <c r="C29" s="6" t="s">
        <v>68</v>
      </c>
      <c r="D29" s="7">
        <v>45128</v>
      </c>
      <c r="E29" s="11" t="s">
        <v>143</v>
      </c>
      <c r="F29" s="6">
        <v>9.8000000000000007</v>
      </c>
      <c r="G29" s="12" t="str">
        <f>IF(AND(F29&lt;=10, F29&gt;=9), "S", IF(F29&gt;=8, "A", IF(F29&gt;=7, "B", "C")))</f>
        <v>S</v>
      </c>
      <c r="H29" s="13">
        <f ca="1">YEAR(TODAY())-YEAR(D29)</f>
        <v>3</v>
      </c>
      <c r="I29" s="13" t="str">
        <f ca="1">IF(MOD(H29,10)=0,H29&amp;"周岁快乐","")</f>
        <v/>
      </c>
      <c r="J29" s="13" t="str">
        <f ca="1">IF(AND(MONTH(D29)=MONTH(TODAY()),DAY(D29)=DAY(TODAY())),"生日快乐","")</f>
        <v/>
      </c>
    </row>
    <row r="30" spans="1:10" ht="24.6" x14ac:dyDescent="0.4">
      <c r="A30" s="10">
        <v>29</v>
      </c>
      <c r="B30" s="6" t="s">
        <v>69</v>
      </c>
      <c r="C30" s="6" t="s">
        <v>70</v>
      </c>
      <c r="D30" s="7">
        <v>43147</v>
      </c>
      <c r="E30" s="11" t="s">
        <v>143</v>
      </c>
      <c r="F30" s="6">
        <v>9.8000000000000007</v>
      </c>
      <c r="G30" s="12" t="str">
        <f>IF(AND(F30&lt;=10, F30&gt;=9), "S", IF(F30&gt;=8, "A", IF(F30&gt;=7, "B", "C")))</f>
        <v>S</v>
      </c>
      <c r="H30" s="13">
        <f ca="1">YEAR(TODAY())-YEAR(D30)</f>
        <v>8</v>
      </c>
      <c r="I30" s="13" t="str">
        <f ca="1">IF(MOD(H30,10)=0,H30&amp;"周岁快乐","")</f>
        <v/>
      </c>
      <c r="J30" s="13" t="str">
        <f ca="1">IF(AND(MONTH(D30)=MONTH(TODAY()),DAY(D30)=DAY(TODAY())),"生日快乐","")</f>
        <v/>
      </c>
    </row>
    <row r="31" spans="1:10" ht="24.6" x14ac:dyDescent="0.4">
      <c r="A31" s="10">
        <v>30</v>
      </c>
      <c r="B31" s="6" t="s">
        <v>71</v>
      </c>
      <c r="C31" s="6" t="s">
        <v>72</v>
      </c>
      <c r="D31" s="7">
        <v>42096</v>
      </c>
      <c r="E31" s="11" t="s">
        <v>143</v>
      </c>
      <c r="F31" s="6">
        <v>9.8000000000000007</v>
      </c>
      <c r="G31" s="12" t="str">
        <f>IF(AND(F31&lt;=10, F31&gt;=9), "S", IF(F31&gt;=8, "A", IF(F31&gt;=7, "B", "C")))</f>
        <v>S</v>
      </c>
      <c r="H31" s="13">
        <f ca="1">YEAR(TODAY())-YEAR(D31)</f>
        <v>11</v>
      </c>
      <c r="I31" s="13" t="str">
        <f ca="1">IF(MOD(H31,10)=0,H31&amp;"周岁快乐","")</f>
        <v/>
      </c>
      <c r="J31" s="13" t="str">
        <f ca="1">IF(AND(MONTH(D31)=MONTH(TODAY()),DAY(D31)=DAY(TODAY())),"生日快乐","")</f>
        <v/>
      </c>
    </row>
    <row r="32" spans="1:10" ht="24.6" x14ac:dyDescent="0.4">
      <c r="A32" s="10">
        <v>31</v>
      </c>
      <c r="B32" s="6" t="s">
        <v>73</v>
      </c>
      <c r="C32" s="6" t="s">
        <v>72</v>
      </c>
      <c r="D32" s="7">
        <v>43501</v>
      </c>
      <c r="E32" s="11" t="s">
        <v>143</v>
      </c>
      <c r="F32" s="6">
        <v>9.8000000000000007</v>
      </c>
      <c r="G32" s="12" t="str">
        <f>IF(AND(F32&lt;=10, F32&gt;=9), "S", IF(F32&gt;=8, "A", IF(F32&gt;=7, "B", "C")))</f>
        <v>S</v>
      </c>
      <c r="H32" s="13">
        <f ca="1">YEAR(TODAY())-YEAR(D32)</f>
        <v>7</v>
      </c>
      <c r="I32" s="13" t="str">
        <f ca="1">IF(MOD(H32,10)=0,H32&amp;"周岁快乐","")</f>
        <v/>
      </c>
      <c r="J32" s="13" t="str">
        <f ca="1">IF(AND(MONTH(D32)=MONTH(TODAY()),DAY(D32)=DAY(TODAY())),"生日快乐","")</f>
        <v/>
      </c>
    </row>
    <row r="33" spans="1:10" ht="24.6" x14ac:dyDescent="0.4">
      <c r="A33" s="10">
        <v>32</v>
      </c>
      <c r="B33" s="6" t="s">
        <v>74</v>
      </c>
      <c r="C33" s="6" t="s">
        <v>75</v>
      </c>
      <c r="D33" s="7">
        <v>41467</v>
      </c>
      <c r="E33" s="11" t="s">
        <v>143</v>
      </c>
      <c r="F33" s="6">
        <v>9.8000000000000007</v>
      </c>
      <c r="G33" s="12" t="str">
        <f>IF(AND(F33&lt;=10, F33&gt;=9), "S", IF(F33&gt;=8, "A", IF(F33&gt;=7, "B", "C")))</f>
        <v>S</v>
      </c>
      <c r="H33" s="13">
        <f ca="1">YEAR(TODAY())-YEAR(D33)</f>
        <v>13</v>
      </c>
      <c r="I33" s="13" t="str">
        <f ca="1">IF(MOD(H33,10)=0,H33&amp;"周岁快乐","")</f>
        <v/>
      </c>
      <c r="J33" s="13" t="str">
        <f ca="1">IF(AND(MONTH(D33)=MONTH(TODAY()),DAY(D33)=DAY(TODAY())),"生日快乐","")</f>
        <v/>
      </c>
    </row>
    <row r="34" spans="1:10" ht="24.6" x14ac:dyDescent="0.4">
      <c r="A34" s="10">
        <v>33</v>
      </c>
      <c r="B34" s="6" t="s">
        <v>76</v>
      </c>
      <c r="C34" s="6" t="s">
        <v>77</v>
      </c>
      <c r="D34" s="7">
        <v>41940</v>
      </c>
      <c r="E34" s="11" t="s">
        <v>143</v>
      </c>
      <c r="F34" s="6">
        <v>9.8000000000000007</v>
      </c>
      <c r="G34" s="12" t="str">
        <f>IF(AND(F34&lt;=10, F34&gt;=9), "S", IF(F34&gt;=8, "A", IF(F34&gt;=7, "B", "C")))</f>
        <v>S</v>
      </c>
      <c r="H34" s="13">
        <f ca="1">YEAR(TODAY())-YEAR(D34)</f>
        <v>12</v>
      </c>
      <c r="I34" s="13" t="str">
        <f ca="1">IF(MOD(H34,10)=0,H34&amp;"周岁快乐","")</f>
        <v/>
      </c>
      <c r="J34" s="13" t="str">
        <f ca="1">IF(AND(MONTH(D34)=MONTH(TODAY()),DAY(D34)=DAY(TODAY())),"生日快乐","")</f>
        <v/>
      </c>
    </row>
    <row r="35" spans="1:10" ht="24.6" x14ac:dyDescent="0.4">
      <c r="A35" s="10">
        <v>34</v>
      </c>
      <c r="B35" s="6" t="s">
        <v>78</v>
      </c>
      <c r="C35" s="6" t="s">
        <v>79</v>
      </c>
      <c r="D35" s="7">
        <v>36742</v>
      </c>
      <c r="E35" s="11" t="s">
        <v>143</v>
      </c>
      <c r="F35" s="6">
        <v>9.8000000000000007</v>
      </c>
      <c r="G35" s="12" t="str">
        <f>IF(AND(F35&lt;=10, F35&gt;=9), "S", IF(F35&gt;=8, "A", IF(F35&gt;=7, "B", "C")))</f>
        <v>S</v>
      </c>
      <c r="H35" s="13">
        <f ca="1">YEAR(TODAY())-YEAR(D35)</f>
        <v>26</v>
      </c>
      <c r="I35" s="13" t="str">
        <f ca="1">IF(MOD(H35,10)=0,H35&amp;"周岁快乐","")</f>
        <v/>
      </c>
      <c r="J35" s="13" t="str">
        <f ca="1">IF(AND(MONTH(D35)=MONTH(TODAY()),DAY(D35)=DAY(TODAY())),"生日快乐","")</f>
        <v/>
      </c>
    </row>
    <row r="36" spans="1:10" ht="24.6" x14ac:dyDescent="0.4">
      <c r="A36" s="10">
        <v>35</v>
      </c>
      <c r="B36" s="6" t="s">
        <v>80</v>
      </c>
      <c r="C36" s="6" t="s">
        <v>19</v>
      </c>
      <c r="D36" s="7">
        <v>44393</v>
      </c>
      <c r="E36" s="11" t="s">
        <v>143</v>
      </c>
      <c r="F36" s="6">
        <v>9.8000000000000007</v>
      </c>
      <c r="G36" s="12" t="str">
        <f>IF(AND(F36&lt;=10, F36&gt;=9), "S", IF(F36&gt;=8, "A", IF(F36&gt;=7, "B", "C")))</f>
        <v>S</v>
      </c>
      <c r="H36" s="13">
        <f ca="1">YEAR(TODAY())-YEAR(D36)</f>
        <v>5</v>
      </c>
      <c r="I36" s="13" t="str">
        <f ca="1">IF(MOD(H36,10)=0,H36&amp;"周岁快乐","")</f>
        <v/>
      </c>
      <c r="J36" s="13" t="str">
        <f ca="1">IF(AND(MONTH(D36)=MONTH(TODAY()),DAY(D36)=DAY(TODAY())),"生日快乐","")</f>
        <v/>
      </c>
    </row>
    <row r="37" spans="1:10" ht="24.6" x14ac:dyDescent="0.4">
      <c r="A37" s="10">
        <v>36</v>
      </c>
      <c r="B37" s="6" t="s">
        <v>81</v>
      </c>
      <c r="C37" s="6" t="s">
        <v>82</v>
      </c>
      <c r="D37" s="7">
        <v>45009</v>
      </c>
      <c r="E37" s="11" t="s">
        <v>143</v>
      </c>
      <c r="F37" s="6">
        <v>9.8000000000000007</v>
      </c>
      <c r="G37" s="12" t="str">
        <f>IF(AND(F37&lt;=10, F37&gt;=9), "S", IF(F37&gt;=8, "A", IF(F37&gt;=7, "B", "C")))</f>
        <v>S</v>
      </c>
      <c r="H37" s="13">
        <f ca="1">YEAR(TODAY())-YEAR(D37)</f>
        <v>3</v>
      </c>
      <c r="I37" s="13" t="str">
        <f ca="1">IF(MOD(H37,10)=0,H37&amp;"周岁快乐","")</f>
        <v/>
      </c>
      <c r="J37" s="13" t="str">
        <f ca="1">IF(AND(MONTH(D37)=MONTH(TODAY()),DAY(D37)=DAY(TODAY())),"生日快乐","")</f>
        <v/>
      </c>
    </row>
    <row r="38" spans="1:10" ht="24.6" x14ac:dyDescent="0.4">
      <c r="A38" s="10">
        <v>37</v>
      </c>
      <c r="B38" s="6" t="s">
        <v>83</v>
      </c>
      <c r="C38" s="6" t="s">
        <v>84</v>
      </c>
      <c r="D38" s="7">
        <v>40249</v>
      </c>
      <c r="E38" s="11" t="s">
        <v>143</v>
      </c>
      <c r="F38" s="6">
        <v>9.8000000000000007</v>
      </c>
      <c r="G38" s="12" t="str">
        <f>IF(AND(F38&lt;=10, F38&gt;=9), "S", IF(F38&gt;=8, "A", IF(F38&gt;=7, "B", "C")))</f>
        <v>S</v>
      </c>
      <c r="H38" s="13">
        <f ca="1">YEAR(TODAY())-YEAR(D38)</f>
        <v>16</v>
      </c>
      <c r="I38" s="13" t="str">
        <f ca="1">IF(MOD(H38,10)=0,H38&amp;"周岁快乐","")</f>
        <v/>
      </c>
      <c r="J38" s="13" t="str">
        <f ca="1">IF(AND(MONTH(D38)=MONTH(TODAY()),DAY(D38)=DAY(TODAY())),"生日快乐","")</f>
        <v/>
      </c>
    </row>
    <row r="39" spans="1:10" ht="24.6" x14ac:dyDescent="0.4">
      <c r="A39" s="10">
        <v>38</v>
      </c>
      <c r="B39" s="6" t="s">
        <v>85</v>
      </c>
      <c r="C39" s="6" t="s">
        <v>21</v>
      </c>
      <c r="D39" s="7">
        <v>42762</v>
      </c>
      <c r="E39" s="11" t="s">
        <v>143</v>
      </c>
      <c r="F39" s="6">
        <v>9.8000000000000007</v>
      </c>
      <c r="G39" s="12" t="str">
        <f>IF(AND(F39&lt;=10, F39&gt;=9), "S", IF(F39&gt;=8, "A", IF(F39&gt;=7, "B", "C")))</f>
        <v>S</v>
      </c>
      <c r="H39" s="13">
        <f ca="1">YEAR(TODAY())-YEAR(D39)</f>
        <v>9</v>
      </c>
      <c r="I39" s="13" t="str">
        <f ca="1">IF(MOD(H39,10)=0,H39&amp;"周岁快乐","")</f>
        <v/>
      </c>
      <c r="J39" s="13" t="str">
        <f ca="1">IF(AND(MONTH(D39)=MONTH(TODAY()),DAY(D39)=DAY(TODAY())),"生日快乐","")</f>
        <v/>
      </c>
    </row>
    <row r="40" spans="1:10" ht="24.6" x14ac:dyDescent="0.4">
      <c r="A40" s="10">
        <v>39</v>
      </c>
      <c r="B40" s="6" t="s">
        <v>145</v>
      </c>
      <c r="C40" s="6" t="s">
        <v>148</v>
      </c>
      <c r="D40" s="7">
        <v>38344</v>
      </c>
      <c r="E40" s="11" t="s">
        <v>143</v>
      </c>
      <c r="F40" s="6">
        <v>9.8000000000000007</v>
      </c>
      <c r="G40" s="12" t="str">
        <f>IF(AND(F40&lt;=10, F40&gt;=9), "S", IF(F40&gt;=8, "A", IF(F40&gt;=7, "B", "C")))</f>
        <v>S</v>
      </c>
      <c r="H40" s="13">
        <f t="shared" ref="H40:H41" ca="1" si="0">YEAR(TODAY())-YEAR(D40)</f>
        <v>22</v>
      </c>
      <c r="I40" s="13" t="str">
        <f t="shared" ref="I40:I41" ca="1" si="1">IF(MOD(H40,10)=0,H40&amp;"周岁快乐","")</f>
        <v/>
      </c>
      <c r="J40" s="13" t="str">
        <f t="shared" ref="J40:J41" ca="1" si="2">IF(AND(MONTH(D40)=MONTH(TODAY()),DAY(D40)=DAY(TODAY())),"生日快乐","")</f>
        <v/>
      </c>
    </row>
    <row r="41" spans="1:10" ht="24.6" x14ac:dyDescent="0.4">
      <c r="A41" s="10">
        <v>40</v>
      </c>
      <c r="B41" s="6" t="s">
        <v>146</v>
      </c>
      <c r="C41" s="6" t="s">
        <v>147</v>
      </c>
      <c r="D41" s="7">
        <v>31358</v>
      </c>
      <c r="E41" s="11" t="s">
        <v>143</v>
      </c>
      <c r="F41" s="6">
        <v>9.8000000000000007</v>
      </c>
      <c r="G41" s="12" t="str">
        <f>IF(AND(F41&lt;=10, F41&gt;=9), "S", IF(F41&gt;=8, "A", IF(F41&gt;=7, "B", "C")))</f>
        <v>S</v>
      </c>
      <c r="H41" s="13">
        <f t="shared" ca="1" si="0"/>
        <v>41</v>
      </c>
      <c r="I41" s="13" t="str">
        <f t="shared" ca="1" si="1"/>
        <v/>
      </c>
      <c r="J41" s="13" t="str">
        <f t="shared" ca="1" si="2"/>
        <v/>
      </c>
    </row>
    <row r="42" spans="1:10" ht="24.6" x14ac:dyDescent="0.4">
      <c r="A42" s="10">
        <v>41</v>
      </c>
      <c r="B42" s="6" t="s">
        <v>86</v>
      </c>
      <c r="C42" s="6" t="s">
        <v>87</v>
      </c>
      <c r="D42" s="7">
        <v>34591</v>
      </c>
      <c r="E42" s="11" t="s">
        <v>143</v>
      </c>
      <c r="F42" s="6">
        <v>9.6999999999999993</v>
      </c>
      <c r="G42" s="12" t="str">
        <f>IF(AND(F42&lt;=10, F42&gt;=9), "S", IF(F42&gt;=8, "A", IF(F42&gt;=7, "B", "C")))</f>
        <v>S</v>
      </c>
      <c r="H42" s="13">
        <f ca="1">YEAR(TODAY())-YEAR(D42)</f>
        <v>32</v>
      </c>
      <c r="I42" s="13" t="str">
        <f ca="1">IF(MOD(H42,10)=0,H42&amp;"周岁快乐","")</f>
        <v/>
      </c>
      <c r="J42" s="13" t="str">
        <f ca="1">IF(AND(MONTH(D42)=MONTH(TODAY()),DAY(D42)=DAY(TODAY())),"生日快乐","")</f>
        <v/>
      </c>
    </row>
    <row r="43" spans="1:10" ht="24.6" x14ac:dyDescent="0.4">
      <c r="A43" s="10">
        <v>42</v>
      </c>
      <c r="B43" s="6" t="s">
        <v>88</v>
      </c>
      <c r="C43" s="6" t="s">
        <v>89</v>
      </c>
      <c r="D43" s="7">
        <v>44469</v>
      </c>
      <c r="E43" s="11" t="s">
        <v>143</v>
      </c>
      <c r="F43" s="6">
        <v>9.6999999999999993</v>
      </c>
      <c r="G43" s="12" t="str">
        <f>IF(AND(F43&lt;=10, F43&gt;=9), "S", IF(F43&gt;=8, "A", IF(F43&gt;=7, "B", "C")))</f>
        <v>S</v>
      </c>
      <c r="H43" s="13">
        <f ca="1">YEAR(TODAY())-YEAR(D43)</f>
        <v>5</v>
      </c>
      <c r="I43" s="13" t="str">
        <f ca="1">IF(MOD(H43,10)=0,H43&amp;"周岁快乐","")</f>
        <v/>
      </c>
      <c r="J43" s="13" t="str">
        <f ca="1">IF(AND(MONTH(D43)=MONTH(TODAY()),DAY(D43)=DAY(TODAY())),"生日快乐","")</f>
        <v/>
      </c>
    </row>
    <row r="44" spans="1:10" ht="24.6" x14ac:dyDescent="0.4">
      <c r="A44" s="10">
        <v>43</v>
      </c>
      <c r="B44" s="6" t="s">
        <v>90</v>
      </c>
      <c r="C44" s="6" t="s">
        <v>91</v>
      </c>
      <c r="D44" s="7">
        <v>38353</v>
      </c>
      <c r="E44" s="11" t="s">
        <v>143</v>
      </c>
      <c r="F44" s="6">
        <v>9.6999999999999993</v>
      </c>
      <c r="G44" s="12" t="str">
        <f>IF(AND(F44&lt;=10, F44&gt;=9), "S", IF(F44&gt;=8, "A", IF(F44&gt;=7, "B", "C")))</f>
        <v>S</v>
      </c>
      <c r="H44" s="13">
        <f ca="1">YEAR(TODAY())-YEAR(D44)</f>
        <v>21</v>
      </c>
      <c r="I44" s="13" t="str">
        <f ca="1">IF(MOD(H44,10)=0,H44&amp;"周岁快乐","")</f>
        <v/>
      </c>
      <c r="J44" s="13" t="str">
        <f ca="1">IF(AND(MONTH(D44)=MONTH(TODAY()),DAY(D44)=DAY(TODAY())),"生日快乐","")</f>
        <v/>
      </c>
    </row>
    <row r="45" spans="1:10" ht="24.6" x14ac:dyDescent="0.4">
      <c r="A45" s="10">
        <v>44</v>
      </c>
      <c r="B45" s="6" t="s">
        <v>92</v>
      </c>
      <c r="C45" s="6" t="s">
        <v>33</v>
      </c>
      <c r="D45" s="7">
        <v>41991</v>
      </c>
      <c r="E45" s="11" t="s">
        <v>143</v>
      </c>
      <c r="F45" s="6">
        <v>9.6999999999999993</v>
      </c>
      <c r="G45" s="12" t="str">
        <f>IF(AND(F45&lt;=10, F45&gt;=9), "S", IF(F45&gt;=8, "A", IF(F45&gt;=7, "B", "C")))</f>
        <v>S</v>
      </c>
      <c r="H45" s="13">
        <f ca="1">YEAR(TODAY())-YEAR(D45)</f>
        <v>12</v>
      </c>
      <c r="I45" s="13" t="str">
        <f ca="1">IF(MOD(H45,10)=0,H45&amp;"周岁快乐","")</f>
        <v/>
      </c>
      <c r="J45" s="13" t="str">
        <f ca="1">IF(AND(MONTH(D45)=MONTH(TODAY()),DAY(D45)=DAY(TODAY())),"生日快乐","")</f>
        <v/>
      </c>
    </row>
    <row r="46" spans="1:10" ht="24.6" x14ac:dyDescent="0.4">
      <c r="A46" s="10">
        <v>45</v>
      </c>
      <c r="B46" s="6" t="s">
        <v>95</v>
      </c>
      <c r="C46" s="6" t="s">
        <v>96</v>
      </c>
      <c r="D46" s="7">
        <v>45113</v>
      </c>
      <c r="E46" s="11" t="s">
        <v>143</v>
      </c>
      <c r="F46" s="6">
        <v>9.6999999999999993</v>
      </c>
      <c r="G46" s="12" t="str">
        <f>IF(AND(F46&lt;=10, F46&gt;=9), "S", IF(F46&gt;=8, "A", IF(F46&gt;=7, "B", "C")))</f>
        <v>S</v>
      </c>
      <c r="H46" s="13">
        <f ca="1">YEAR(TODAY())-YEAR(D46)</f>
        <v>3</v>
      </c>
      <c r="I46" s="13" t="str">
        <f ca="1">IF(MOD(H46,10)=0,H46&amp;"周岁快乐","")</f>
        <v/>
      </c>
      <c r="J46" s="13" t="str">
        <f ca="1">IF(AND(MONTH(D46)=MONTH(TODAY()),DAY(D46)=DAY(TODAY())),"生日快乐","")</f>
        <v/>
      </c>
    </row>
    <row r="47" spans="1:10" ht="24.6" x14ac:dyDescent="0.4">
      <c r="A47" s="10">
        <v>46</v>
      </c>
      <c r="B47" s="6" t="s">
        <v>97</v>
      </c>
      <c r="C47" s="6" t="s">
        <v>98</v>
      </c>
      <c r="D47" s="7">
        <v>44391</v>
      </c>
      <c r="E47" s="11" t="s">
        <v>143</v>
      </c>
      <c r="F47" s="6">
        <v>9.6999999999999993</v>
      </c>
      <c r="G47" s="12" t="str">
        <f>IF(AND(F47&lt;=10, F47&gt;=9), "S", IF(F47&gt;=8, "A", IF(F47&gt;=7, "B", "C")))</f>
        <v>S</v>
      </c>
      <c r="H47" s="13">
        <f ca="1">YEAR(TODAY())-YEAR(D47)</f>
        <v>5</v>
      </c>
      <c r="I47" s="13" t="str">
        <f ca="1">IF(MOD(H47,10)=0,H47&amp;"周岁快乐","")</f>
        <v/>
      </c>
      <c r="J47" s="13" t="str">
        <f ca="1">IF(AND(MONTH(D47)=MONTH(TODAY()),DAY(D47)=DAY(TODAY())),"生日快乐","")</f>
        <v/>
      </c>
    </row>
    <row r="48" spans="1:10" ht="24.6" x14ac:dyDescent="0.4">
      <c r="A48" s="10">
        <v>47</v>
      </c>
      <c r="B48" s="6" t="s">
        <v>99</v>
      </c>
      <c r="C48" s="6" t="s">
        <v>19</v>
      </c>
      <c r="D48" s="7">
        <v>41474</v>
      </c>
      <c r="E48" s="11" t="s">
        <v>143</v>
      </c>
      <c r="F48" s="6">
        <v>9.6999999999999993</v>
      </c>
      <c r="G48" s="12" t="str">
        <f>IF(AND(F48&lt;=10, F48&gt;=9), "S", IF(F48&gt;=8, "A", IF(F48&gt;=7, "B", "C")))</f>
        <v>S</v>
      </c>
      <c r="H48" s="13">
        <f ca="1">YEAR(TODAY())-YEAR(D48)</f>
        <v>13</v>
      </c>
      <c r="I48" s="13" t="str">
        <f ca="1">IF(MOD(H48,10)=0,H48&amp;"周岁快乐","")</f>
        <v/>
      </c>
      <c r="J48" s="13" t="str">
        <f ca="1">IF(AND(MONTH(D48)=MONTH(TODAY()),DAY(D48)=DAY(TODAY())),"生日快乐","")</f>
        <v/>
      </c>
    </row>
    <row r="49" spans="1:10" ht="24.6" x14ac:dyDescent="0.4">
      <c r="A49" s="10">
        <v>48</v>
      </c>
      <c r="B49" s="6" t="s">
        <v>100</v>
      </c>
      <c r="C49" s="6" t="s">
        <v>101</v>
      </c>
      <c r="D49" s="7">
        <v>40634</v>
      </c>
      <c r="E49" s="11" t="s">
        <v>143</v>
      </c>
      <c r="F49" s="6">
        <v>9.6999999999999993</v>
      </c>
      <c r="G49" s="12" t="str">
        <f>IF(AND(F49&lt;=10, F49&gt;=9), "S", IF(F49&gt;=8, "A", IF(F49&gt;=7, "B", "C")))</f>
        <v>S</v>
      </c>
      <c r="H49" s="13">
        <f ca="1">YEAR(TODAY())-YEAR(D49)</f>
        <v>15</v>
      </c>
      <c r="I49" s="13" t="str">
        <f ca="1">IF(MOD(H49,10)=0,H49&amp;"周岁快乐","")</f>
        <v/>
      </c>
      <c r="J49" s="13" t="str">
        <f ca="1">IF(AND(MONTH(D49)=MONTH(TODAY()),DAY(D49)=DAY(TODAY())),"生日快乐","")</f>
        <v/>
      </c>
    </row>
    <row r="50" spans="1:10" ht="24.6" x14ac:dyDescent="0.4">
      <c r="A50" s="10">
        <v>49</v>
      </c>
      <c r="B50" s="6" t="s">
        <v>102</v>
      </c>
      <c r="C50" s="6" t="s">
        <v>103</v>
      </c>
      <c r="D50" s="7">
        <v>30995</v>
      </c>
      <c r="E50" s="11" t="s">
        <v>143</v>
      </c>
      <c r="F50" s="6">
        <v>9.6999999999999993</v>
      </c>
      <c r="G50" s="12" t="str">
        <f>IF(AND(F50&lt;=10, F50&gt;=9), "S", IF(F50&gt;=8, "A", IF(F50&gt;=7, "B", "C")))</f>
        <v>S</v>
      </c>
      <c r="H50" s="13">
        <f ca="1">YEAR(TODAY())-YEAR(D50)</f>
        <v>42</v>
      </c>
      <c r="I50" s="13" t="str">
        <f ca="1">IF(MOD(H50,10)=0,H50&amp;"周岁快乐","")</f>
        <v/>
      </c>
      <c r="J50" s="13" t="str">
        <f ca="1">IF(AND(MONTH(D50)=MONTH(TODAY()),DAY(D50)=DAY(TODAY())),"生日快乐","")</f>
        <v/>
      </c>
    </row>
    <row r="51" spans="1:10" ht="24.6" x14ac:dyDescent="0.4">
      <c r="A51" s="10">
        <v>50</v>
      </c>
      <c r="B51" s="6" t="s">
        <v>104</v>
      </c>
      <c r="C51" s="6" t="s">
        <v>62</v>
      </c>
      <c r="D51" s="7">
        <v>44449</v>
      </c>
      <c r="E51" s="11" t="s">
        <v>143</v>
      </c>
      <c r="F51" s="6">
        <v>9.6999999999999993</v>
      </c>
      <c r="G51" s="12" t="str">
        <f>IF(AND(F51&lt;=10, F51&gt;=9), "S", IF(F51&gt;=8, "A", IF(F51&gt;=7, "B", "C")))</f>
        <v>S</v>
      </c>
      <c r="H51" s="13">
        <f ca="1">YEAR(TODAY())-YEAR(D51)</f>
        <v>5</v>
      </c>
      <c r="I51" s="13" t="str">
        <f ca="1">IF(MOD(H51,10)=0,H51&amp;"周岁快乐","")</f>
        <v/>
      </c>
      <c r="J51" s="13" t="str">
        <f ca="1">IF(AND(MONTH(D51)=MONTH(TODAY()),DAY(D51)=DAY(TODAY())),"生日快乐","")</f>
        <v/>
      </c>
    </row>
    <row r="52" spans="1:10" ht="24.6" x14ac:dyDescent="0.4">
      <c r="A52" s="10">
        <v>51</v>
      </c>
      <c r="B52" s="6" t="s">
        <v>105</v>
      </c>
      <c r="C52" s="6" t="s">
        <v>44</v>
      </c>
      <c r="D52" s="7">
        <v>43649</v>
      </c>
      <c r="E52" s="11" t="s">
        <v>143</v>
      </c>
      <c r="F52" s="6">
        <v>9.6999999999999993</v>
      </c>
      <c r="G52" s="12" t="str">
        <f>IF(AND(F52&lt;=10, F52&gt;=9), "S", IF(F52&gt;=8, "A", IF(F52&gt;=7, "B", "C")))</f>
        <v>S</v>
      </c>
      <c r="H52" s="13">
        <f ca="1">YEAR(TODAY())-YEAR(D52)</f>
        <v>7</v>
      </c>
      <c r="I52" s="13" t="str">
        <f ca="1">IF(MOD(H52,10)=0,H52&amp;"周岁快乐","")</f>
        <v/>
      </c>
      <c r="J52" s="13" t="str">
        <f ca="1">IF(AND(MONTH(D52)=MONTH(TODAY()),DAY(D52)=DAY(TODAY())),"生日快乐","")</f>
        <v/>
      </c>
    </row>
    <row r="53" spans="1:10" ht="24.6" x14ac:dyDescent="0.4">
      <c r="A53" s="10">
        <v>52</v>
      </c>
      <c r="B53" s="6" t="s">
        <v>106</v>
      </c>
      <c r="C53" s="6" t="s">
        <v>107</v>
      </c>
      <c r="D53" s="7">
        <v>42790</v>
      </c>
      <c r="E53" s="11" t="s">
        <v>143</v>
      </c>
      <c r="F53" s="6">
        <v>9.6999999999999993</v>
      </c>
      <c r="G53" s="12" t="str">
        <f>IF(AND(F53&lt;=10, F53&gt;=9), "S", IF(F53&gt;=8, "A", IF(F53&gt;=7, "B", "C")))</f>
        <v>S</v>
      </c>
      <c r="H53" s="13">
        <f ca="1">YEAR(TODAY())-YEAR(D53)</f>
        <v>9</v>
      </c>
      <c r="I53" s="13" t="str">
        <f ca="1">IF(MOD(H53,10)=0,H53&amp;"周岁快乐","")</f>
        <v/>
      </c>
      <c r="J53" s="13" t="str">
        <f ca="1">IF(AND(MONTH(D53)=MONTH(TODAY()),DAY(D53)=DAY(TODAY())),"生日快乐","")</f>
        <v/>
      </c>
    </row>
    <row r="54" spans="1:10" ht="24.6" x14ac:dyDescent="0.4">
      <c r="A54" s="10">
        <v>53</v>
      </c>
      <c r="B54" s="6" t="s">
        <v>108</v>
      </c>
      <c r="C54" s="6" t="s">
        <v>109</v>
      </c>
      <c r="D54" s="7">
        <v>39157</v>
      </c>
      <c r="E54" s="11" t="s">
        <v>143</v>
      </c>
      <c r="F54" s="6">
        <v>9.6999999999999993</v>
      </c>
      <c r="G54" s="12" t="str">
        <f>IF(AND(F54&lt;=10, F54&gt;=9), "S", IF(F54&gt;=8, "A", IF(F54&gt;=7, "B", "C")))</f>
        <v>S</v>
      </c>
      <c r="H54" s="13">
        <f ca="1">YEAR(TODAY())-YEAR(D54)</f>
        <v>19</v>
      </c>
      <c r="I54" s="13" t="str">
        <f ca="1">IF(MOD(H54,10)=0,H54&amp;"周岁快乐","")</f>
        <v/>
      </c>
      <c r="J54" s="13" t="str">
        <f ca="1">IF(AND(MONTH(D54)=MONTH(TODAY()),DAY(D54)=DAY(TODAY())),"生日快乐","")</f>
        <v/>
      </c>
    </row>
    <row r="55" spans="1:10" ht="24.6" x14ac:dyDescent="0.4">
      <c r="A55" s="10">
        <v>54</v>
      </c>
      <c r="B55" s="6" t="s">
        <v>110</v>
      </c>
      <c r="C55" s="6" t="s">
        <v>111</v>
      </c>
      <c r="D55" s="7">
        <v>36966</v>
      </c>
      <c r="E55" s="11" t="s">
        <v>143</v>
      </c>
      <c r="F55" s="6">
        <v>9.6999999999999993</v>
      </c>
      <c r="G55" s="12" t="str">
        <f>IF(AND(F55&lt;=10, F55&gt;=9), "S", IF(F55&gt;=8, "A", IF(F55&gt;=7, "B", "C")))</f>
        <v>S</v>
      </c>
      <c r="H55" s="13">
        <f ca="1">YEAR(TODAY())-YEAR(D55)</f>
        <v>25</v>
      </c>
      <c r="I55" s="13" t="str">
        <f ca="1">IF(MOD(H55,10)=0,H55&amp;"周岁快乐","")</f>
        <v/>
      </c>
      <c r="J55" s="13" t="str">
        <f ca="1">IF(AND(MONTH(D55)=MONTH(TODAY()),DAY(D55)=DAY(TODAY())),"生日快乐","")</f>
        <v/>
      </c>
    </row>
    <row r="56" spans="1:10" ht="24.6" x14ac:dyDescent="0.4">
      <c r="A56" s="10">
        <v>55</v>
      </c>
      <c r="B56" s="6" t="s">
        <v>141</v>
      </c>
      <c r="C56" s="6" t="s">
        <v>142</v>
      </c>
      <c r="D56" s="7">
        <v>43604</v>
      </c>
      <c r="E56" s="11" t="s">
        <v>143</v>
      </c>
      <c r="F56" s="6">
        <v>9.6999999999999993</v>
      </c>
      <c r="G56" s="12" t="str">
        <f>IF(AND(F56&lt;=10, F56&gt;=9), "S", IF(F56&gt;=8, "A", IF(F56&gt;=7, "B", "C")))</f>
        <v>S</v>
      </c>
      <c r="H56" s="13">
        <f ca="1">YEAR(TODAY())-YEAR(D56)</f>
        <v>7</v>
      </c>
      <c r="I56" s="13" t="str">
        <f ca="1">IF(MOD(H56,10)=0,H56&amp;"周岁快乐","")</f>
        <v/>
      </c>
      <c r="J56" s="13" t="str">
        <f ca="1">IF(AND(MONTH(D56)=MONTH(TODAY()),DAY(D56)=DAY(TODAY())),"生日快乐","")</f>
        <v/>
      </c>
    </row>
    <row r="57" spans="1:10" ht="24.6" x14ac:dyDescent="0.4">
      <c r="A57" s="10">
        <v>56</v>
      </c>
      <c r="B57" s="6" t="s">
        <v>112</v>
      </c>
      <c r="C57" s="6" t="s">
        <v>66</v>
      </c>
      <c r="D57" s="7">
        <v>44807</v>
      </c>
      <c r="E57" s="11" t="s">
        <v>143</v>
      </c>
      <c r="F57" s="6">
        <v>9.6999999999999993</v>
      </c>
      <c r="G57" s="12" t="str">
        <f>IF(AND(F57&lt;=10, F57&gt;=9), "S", IF(F57&gt;=8, "A", IF(F57&gt;=7, "B", "C")))</f>
        <v>S</v>
      </c>
      <c r="H57" s="13">
        <f ca="1">YEAR(TODAY())-YEAR(D57)</f>
        <v>4</v>
      </c>
      <c r="I57" s="13" t="str">
        <f ca="1">IF(MOD(H57,10)=0,H57&amp;"周岁快乐","")</f>
        <v/>
      </c>
      <c r="J57" s="13" t="str">
        <f ca="1">IF(AND(MONTH(D57)=MONTH(TODAY()),DAY(D57)=DAY(TODAY())),"生日快乐","")</f>
        <v/>
      </c>
    </row>
    <row r="58" spans="1:10" ht="24.6" x14ac:dyDescent="0.4">
      <c r="A58" s="10">
        <v>57</v>
      </c>
      <c r="B58" s="6" t="s">
        <v>113</v>
      </c>
      <c r="C58" s="6" t="s">
        <v>66</v>
      </c>
      <c r="D58" s="7">
        <v>44638</v>
      </c>
      <c r="E58" s="11" t="s">
        <v>143</v>
      </c>
      <c r="F58" s="6">
        <v>9.6999999999999993</v>
      </c>
      <c r="G58" s="12" t="str">
        <f>IF(AND(F58&lt;=10, F58&gt;=9), "S", IF(F58&gt;=8, "A", IF(F58&gt;=7, "B", "C")))</f>
        <v>S</v>
      </c>
      <c r="H58" s="13">
        <f ca="1">YEAR(TODAY())-YEAR(D58)</f>
        <v>4</v>
      </c>
      <c r="I58" s="13" t="str">
        <f ca="1">IF(MOD(H58,10)=0,H58&amp;"周岁快乐","")</f>
        <v/>
      </c>
      <c r="J58" s="13" t="str">
        <f ca="1">IF(AND(MONTH(D58)=MONTH(TODAY()),DAY(D58)=DAY(TODAY())),"生日快乐","")</f>
        <v/>
      </c>
    </row>
    <row r="59" spans="1:10" ht="24.6" x14ac:dyDescent="0.4">
      <c r="A59" s="10">
        <v>58</v>
      </c>
      <c r="B59" s="6" t="s">
        <v>114</v>
      </c>
      <c r="C59" s="6" t="s">
        <v>115</v>
      </c>
      <c r="D59" s="7">
        <v>42138</v>
      </c>
      <c r="E59" s="11" t="s">
        <v>143</v>
      </c>
      <c r="F59" s="6">
        <v>9.6999999999999993</v>
      </c>
      <c r="G59" s="12" t="str">
        <f>IF(AND(F59&lt;=10, F59&gt;=9), "S", IF(F59&gt;=8, "A", IF(F59&gt;=7, "B", "C")))</f>
        <v>S</v>
      </c>
      <c r="H59" s="13">
        <f ca="1">YEAR(TODAY())-YEAR(D59)</f>
        <v>11</v>
      </c>
      <c r="I59" s="13" t="str">
        <f ca="1">IF(MOD(H59,10)=0,H59&amp;"周岁快乐","")</f>
        <v/>
      </c>
      <c r="J59" s="13" t="str">
        <f ca="1">IF(AND(MONTH(D59)=MONTH(TODAY()),DAY(D59)=DAY(TODAY())),"生日快乐","")</f>
        <v/>
      </c>
    </row>
    <row r="60" spans="1:10" ht="24.6" x14ac:dyDescent="0.4">
      <c r="A60" s="10">
        <v>59</v>
      </c>
      <c r="B60" s="6" t="s">
        <v>116</v>
      </c>
      <c r="C60" s="6" t="s">
        <v>117</v>
      </c>
      <c r="D60" s="7">
        <v>42877</v>
      </c>
      <c r="E60" s="11" t="s">
        <v>143</v>
      </c>
      <c r="F60" s="6">
        <v>9.6999999999999993</v>
      </c>
      <c r="G60" s="12" t="str">
        <f>IF(AND(F60&lt;=10, F60&gt;=9), "S", IF(F60&gt;=8, "A", IF(F60&gt;=7, "B", "C")))</f>
        <v>S</v>
      </c>
      <c r="H60" s="13">
        <f ca="1">YEAR(TODAY())-YEAR(D60)</f>
        <v>9</v>
      </c>
      <c r="I60" s="13" t="str">
        <f ca="1">IF(MOD(H60,10)=0,H60&amp;"周岁快乐","")</f>
        <v/>
      </c>
      <c r="J60" s="13" t="str">
        <f ca="1">IF(AND(MONTH(D60)=MONTH(TODAY()),DAY(D60)=DAY(TODAY())),"生日快乐","")</f>
        <v/>
      </c>
    </row>
    <row r="61" spans="1:10" ht="24.6" x14ac:dyDescent="0.4">
      <c r="A61" s="10">
        <v>60</v>
      </c>
      <c r="B61" s="6" t="s">
        <v>118</v>
      </c>
      <c r="C61" s="6" t="s">
        <v>119</v>
      </c>
      <c r="D61" s="7">
        <v>42027</v>
      </c>
      <c r="E61" s="11" t="s">
        <v>143</v>
      </c>
      <c r="F61" s="6">
        <v>9.6999999999999993</v>
      </c>
      <c r="G61" s="12" t="str">
        <f>IF(AND(F61&lt;=10, F61&gt;=9), "S", IF(F61&gt;=8, "A", IF(F61&gt;=7, "B", "C")))</f>
        <v>S</v>
      </c>
      <c r="H61" s="13">
        <f ca="1">YEAR(TODAY())-YEAR(D61)</f>
        <v>11</v>
      </c>
      <c r="I61" s="13" t="str">
        <f ca="1">IF(MOD(H61,10)=0,H61&amp;"周岁快乐","")</f>
        <v/>
      </c>
      <c r="J61" s="13" t="str">
        <f ca="1">IF(AND(MONTH(D61)=MONTH(TODAY()),DAY(D61)=DAY(TODAY())),"生日快乐","")</f>
        <v/>
      </c>
    </row>
    <row r="62" spans="1:10" ht="24.6" x14ac:dyDescent="0.4">
      <c r="A62" s="10">
        <v>61</v>
      </c>
      <c r="B62" s="6" t="s">
        <v>120</v>
      </c>
      <c r="C62" s="6" t="s">
        <v>19</v>
      </c>
      <c r="D62" s="7">
        <v>38003</v>
      </c>
      <c r="E62" s="11" t="s">
        <v>143</v>
      </c>
      <c r="F62" s="6">
        <v>9.6999999999999993</v>
      </c>
      <c r="G62" s="12" t="str">
        <f>IF(AND(F62&lt;=10, F62&gt;=9), "S", IF(F62&gt;=8, "A", IF(F62&gt;=7, "B", "C")))</f>
        <v>S</v>
      </c>
      <c r="H62" s="13">
        <f ca="1">YEAR(TODAY())-YEAR(D62)</f>
        <v>22</v>
      </c>
      <c r="I62" s="13" t="str">
        <f ca="1">IF(MOD(H62,10)=0,H62&amp;"周岁快乐","")</f>
        <v/>
      </c>
      <c r="J62" s="13" t="str">
        <f ca="1">IF(AND(MONTH(D62)=MONTH(TODAY()),DAY(D62)=DAY(TODAY())),"生日快乐","")</f>
        <v/>
      </c>
    </row>
    <row r="63" spans="1:10" ht="24.6" x14ac:dyDescent="0.4">
      <c r="A63" s="10">
        <v>62</v>
      </c>
      <c r="B63" s="6" t="s">
        <v>93</v>
      </c>
      <c r="C63" s="6" t="s">
        <v>94</v>
      </c>
      <c r="D63" s="7">
        <v>37764</v>
      </c>
      <c r="E63" s="11" t="s">
        <v>143</v>
      </c>
      <c r="F63" s="6">
        <v>9.6999999999999993</v>
      </c>
      <c r="G63" s="12" t="str">
        <f>IF(AND(F63&lt;=10, F63&gt;=9), "S", IF(F63&gt;=8, "A", IF(F63&gt;=7, "B", "C")))</f>
        <v>S</v>
      </c>
      <c r="H63" s="13">
        <f ca="1">YEAR(TODAY())-YEAR(D63)</f>
        <v>23</v>
      </c>
      <c r="I63" s="13" t="str">
        <f ca="1">IF(MOD(H63,10)=0,H63&amp;"周岁快乐","")</f>
        <v/>
      </c>
      <c r="J63" s="13" t="str">
        <f ca="1">IF(AND(MONTH(D63)=MONTH(TODAY()),DAY(D63)=DAY(TODAY())),"生日快乐","")</f>
        <v/>
      </c>
    </row>
    <row r="64" spans="1:10" ht="24.6" x14ac:dyDescent="0.4">
      <c r="A64" s="10">
        <v>63</v>
      </c>
      <c r="B64" s="6" t="s">
        <v>121</v>
      </c>
      <c r="C64" s="6" t="s">
        <v>122</v>
      </c>
      <c r="D64" s="7">
        <v>38002</v>
      </c>
      <c r="E64" s="11" t="s">
        <v>143</v>
      </c>
      <c r="F64" s="6">
        <v>9.6999999999999993</v>
      </c>
      <c r="G64" s="12" t="str">
        <f>IF(AND(F64&lt;=10, F64&gt;=9), "S", IF(F64&gt;=8, "A", IF(F64&gt;=7, "B", "C")))</f>
        <v>S</v>
      </c>
      <c r="H64" s="13">
        <f ca="1">YEAR(TODAY())-YEAR(D64)</f>
        <v>22</v>
      </c>
      <c r="I64" s="13" t="str">
        <f ca="1">IF(MOD(H64,10)=0,H64&amp;"周岁快乐","")</f>
        <v/>
      </c>
      <c r="J64" s="13" t="str">
        <f ca="1">IF(AND(MONTH(D64)=MONTH(TODAY()),DAY(D64)=DAY(TODAY())),"生日快乐","")</f>
        <v/>
      </c>
    </row>
    <row r="65" spans="1:10" ht="24.6" x14ac:dyDescent="0.4">
      <c r="A65" s="10">
        <v>64</v>
      </c>
      <c r="B65" s="6" t="s">
        <v>123</v>
      </c>
      <c r="C65" s="6" t="s">
        <v>124</v>
      </c>
      <c r="D65" s="7">
        <v>40785</v>
      </c>
      <c r="E65" s="11" t="s">
        <v>143</v>
      </c>
      <c r="F65" s="6">
        <v>9.6999999999999993</v>
      </c>
      <c r="G65" s="12" t="str">
        <f>IF(AND(F65&lt;=10, F65&gt;=9), "S", IF(F65&gt;=8, "A", IF(F65&gt;=7, "B", "C")))</f>
        <v>S</v>
      </c>
      <c r="H65" s="13">
        <f ca="1">YEAR(TODAY())-YEAR(D65)</f>
        <v>15</v>
      </c>
      <c r="I65" s="13" t="str">
        <f ca="1">IF(MOD(H65,10)=0,H65&amp;"周岁快乐","")</f>
        <v/>
      </c>
      <c r="J65" s="13" t="str">
        <f ca="1">IF(AND(MONTH(D65)=MONTH(TODAY()),DAY(D65)=DAY(TODAY())),"生日快乐","")</f>
        <v/>
      </c>
    </row>
    <row r="66" spans="1:10" ht="24.6" x14ac:dyDescent="0.4">
      <c r="A66" s="10">
        <v>65</v>
      </c>
      <c r="B66" s="6" t="s">
        <v>125</v>
      </c>
      <c r="C66" s="6" t="s">
        <v>126</v>
      </c>
      <c r="D66" s="7">
        <v>41796</v>
      </c>
      <c r="E66" s="11" t="s">
        <v>143</v>
      </c>
      <c r="F66" s="6">
        <v>9.6999999999999993</v>
      </c>
      <c r="G66" s="12" t="str">
        <f>IF(AND(F66&lt;=10, F66&gt;=9), "S", IF(F66&gt;=8, "A", IF(F66&gt;=7, "B", "C")))</f>
        <v>S</v>
      </c>
      <c r="H66" s="13">
        <f ca="1">YEAR(TODAY())-YEAR(D66)</f>
        <v>12</v>
      </c>
      <c r="I66" s="13" t="str">
        <f ca="1">IF(MOD(H66,10)=0,H66&amp;"周岁快乐","")</f>
        <v/>
      </c>
      <c r="J66" s="13" t="str">
        <f ca="1">IF(AND(MONTH(D66)=MONTH(TODAY()),DAY(D66)=DAY(TODAY())),"生日快乐","")</f>
        <v/>
      </c>
    </row>
    <row r="67" spans="1:10" ht="24.6" x14ac:dyDescent="0.4">
      <c r="A67" s="10">
        <v>66</v>
      </c>
      <c r="B67" s="6" t="s">
        <v>127</v>
      </c>
      <c r="C67" s="6" t="s">
        <v>128</v>
      </c>
      <c r="D67" s="7">
        <v>39360</v>
      </c>
      <c r="E67" s="11" t="s">
        <v>143</v>
      </c>
      <c r="F67" s="6">
        <v>9.6999999999999993</v>
      </c>
      <c r="G67" s="12" t="str">
        <f>IF(AND(F67&lt;=10, F67&gt;=9), "S", IF(F67&gt;=8, "A", IF(F67&gt;=7, "B", "C")))</f>
        <v>S</v>
      </c>
      <c r="H67" s="13">
        <f ca="1">YEAR(TODAY())-YEAR(D67)</f>
        <v>19</v>
      </c>
      <c r="I67" s="13" t="str">
        <f ca="1">IF(MOD(H67,10)=0,H67&amp;"周岁快乐","")</f>
        <v/>
      </c>
      <c r="J67" s="13" t="str">
        <f ca="1">IF(AND(MONTH(D67)=MONTH(TODAY()),DAY(D67)=DAY(TODAY())),"生日快乐","")</f>
        <v/>
      </c>
    </row>
    <row r="68" spans="1:10" ht="24.6" x14ac:dyDescent="0.4">
      <c r="A68" s="10">
        <v>67</v>
      </c>
      <c r="B68" s="6" t="s">
        <v>129</v>
      </c>
      <c r="C68" s="6" t="s">
        <v>66</v>
      </c>
      <c r="D68" s="7">
        <v>43021</v>
      </c>
      <c r="E68" s="11" t="s">
        <v>143</v>
      </c>
      <c r="F68" s="6">
        <v>9.6999999999999993</v>
      </c>
      <c r="G68" s="12" t="str">
        <f>IF(AND(F68&lt;=10, F68&gt;=9), "S", IF(F68&gt;=8, "A", IF(F68&gt;=7, "B", "C")))</f>
        <v>S</v>
      </c>
      <c r="H68" s="13">
        <f ca="1">YEAR(TODAY())-YEAR(D68)</f>
        <v>9</v>
      </c>
      <c r="I68" s="13" t="str">
        <f ca="1">IF(MOD(H68,10)=0,H68&amp;"周岁快乐","")</f>
        <v/>
      </c>
      <c r="J68" s="13" t="str">
        <f ca="1">IF(AND(MONTH(D68)=MONTH(TODAY()),DAY(D68)=DAY(TODAY())),"生日快乐","")</f>
        <v/>
      </c>
    </row>
    <row r="69" spans="1:10" ht="24.6" x14ac:dyDescent="0.4">
      <c r="A69" s="10">
        <v>68</v>
      </c>
      <c r="B69" s="6" t="s">
        <v>130</v>
      </c>
      <c r="C69" s="6" t="s">
        <v>131</v>
      </c>
      <c r="D69" s="7">
        <v>34012</v>
      </c>
      <c r="E69" s="11" t="s">
        <v>143</v>
      </c>
      <c r="F69" s="6">
        <v>9.6999999999999993</v>
      </c>
      <c r="G69" s="12" t="str">
        <f>IF(AND(F69&lt;=10, F69&gt;=9), "S", IF(F69&gt;=8, "A", IF(F69&gt;=7, "B", "C")))</f>
        <v>S</v>
      </c>
      <c r="H69" s="13">
        <f ca="1">YEAR(TODAY())-YEAR(D69)</f>
        <v>33</v>
      </c>
      <c r="I69" s="13" t="str">
        <f ca="1">IF(MOD(H69,10)=0,H69&amp;"周岁快乐","")</f>
        <v/>
      </c>
      <c r="J69" s="13" t="str">
        <f ca="1">IF(AND(MONTH(D69)=MONTH(TODAY()),DAY(D69)=DAY(TODAY())),"生日快乐","")</f>
        <v/>
      </c>
    </row>
    <row r="70" spans="1:10" ht="24.6" x14ac:dyDescent="0.4">
      <c r="A70" s="10">
        <v>69</v>
      </c>
      <c r="B70" s="6" t="s">
        <v>132</v>
      </c>
      <c r="C70" s="6" t="s">
        <v>133</v>
      </c>
      <c r="D70" s="7">
        <v>36027</v>
      </c>
      <c r="E70" s="11" t="s">
        <v>143</v>
      </c>
      <c r="F70" s="6">
        <v>9.6999999999999993</v>
      </c>
      <c r="G70" s="12" t="str">
        <f>IF(AND(F70&lt;=10, F70&gt;=9), "S", IF(F70&gt;=8, "A", IF(F70&gt;=7, "B", "C")))</f>
        <v>S</v>
      </c>
      <c r="H70" s="13">
        <f ca="1">YEAR(TODAY())-YEAR(D70)</f>
        <v>28</v>
      </c>
      <c r="I70" s="13" t="str">
        <f ca="1">IF(MOD(H70,10)=0,H70&amp;"周岁快乐","")</f>
        <v/>
      </c>
      <c r="J70" s="13" t="str">
        <f ca="1">IF(AND(MONTH(D70)=MONTH(TODAY()),DAY(D70)=DAY(TODAY())),"生日快乐","")</f>
        <v/>
      </c>
    </row>
    <row r="71" spans="1:10" ht="24.6" x14ac:dyDescent="0.4">
      <c r="A71" s="10">
        <v>70</v>
      </c>
      <c r="B71" s="6" t="s">
        <v>134</v>
      </c>
      <c r="C71" s="6" t="s">
        <v>135</v>
      </c>
      <c r="D71" s="7">
        <v>43501</v>
      </c>
      <c r="E71" s="11" t="s">
        <v>143</v>
      </c>
      <c r="F71" s="6">
        <v>9.6999999999999993</v>
      </c>
      <c r="G71" s="12" t="str">
        <f>IF(AND(F71&lt;=10, F71&gt;=9), "S", IF(F71&gt;=8, "A", IF(F71&gt;=7, "B", "C")))</f>
        <v>S</v>
      </c>
      <c r="H71" s="13">
        <f ca="1">YEAR(TODAY())-YEAR(D71)</f>
        <v>7</v>
      </c>
      <c r="I71" s="13" t="str">
        <f ca="1">IF(MOD(H71,10)=0,H71&amp;"周岁快乐","")</f>
        <v/>
      </c>
      <c r="J71" s="13" t="str">
        <f ca="1">IF(AND(MONTH(D71)=MONTH(TODAY()),DAY(D71)=DAY(TODAY())),"生日快乐","")</f>
        <v/>
      </c>
    </row>
    <row r="72" spans="1:10" ht="24.6" x14ac:dyDescent="0.4">
      <c r="A72" s="10">
        <v>71</v>
      </c>
      <c r="B72" s="6" t="s">
        <v>136</v>
      </c>
      <c r="C72" s="6" t="s">
        <v>52</v>
      </c>
      <c r="D72" s="7">
        <v>45465</v>
      </c>
      <c r="E72" s="11" t="s">
        <v>143</v>
      </c>
      <c r="F72" s="6">
        <v>9.6</v>
      </c>
      <c r="G72" s="12" t="str">
        <f>IF(AND(F72&lt;=10, F72&gt;=9), "S", IF(F72&gt;=8, "A", IF(F72&gt;=7, "B", "C")))</f>
        <v>S</v>
      </c>
      <c r="H72" s="13">
        <f ca="1">YEAR(TODAY())-YEAR(D72)</f>
        <v>2</v>
      </c>
      <c r="I72" s="13" t="str">
        <f ca="1">IF(MOD(H72,10)=0,H72&amp;"周岁快乐","")</f>
        <v/>
      </c>
      <c r="J72" s="13" t="str">
        <f ca="1">IF(AND(MONTH(D72)=MONTH(TODAY()),DAY(D72)=DAY(TODAY())),"生日快乐","")</f>
        <v/>
      </c>
    </row>
    <row r="73" spans="1:10" ht="24.6" x14ac:dyDescent="0.4">
      <c r="A73" s="10">
        <v>72</v>
      </c>
      <c r="B73" s="6" t="s">
        <v>137</v>
      </c>
      <c r="C73" s="6" t="s">
        <v>138</v>
      </c>
      <c r="D73" s="7">
        <v>45332</v>
      </c>
      <c r="E73" s="11" t="s">
        <v>143</v>
      </c>
      <c r="F73" s="6">
        <v>9.6</v>
      </c>
      <c r="G73" s="12" t="str">
        <f>IF(AND(F73&lt;=10, F73&gt;=9), "S", IF(F73&gt;=8, "A", IF(F73&gt;=7, "B", "C")))</f>
        <v>S</v>
      </c>
      <c r="H73" s="13">
        <f ca="1">YEAR(TODAY())-YEAR(D73)</f>
        <v>2</v>
      </c>
      <c r="I73" s="13" t="str">
        <f ca="1">IF(MOD(H73,10)=0,H73&amp;"周岁快乐","")</f>
        <v/>
      </c>
      <c r="J73" s="13" t="str">
        <f ca="1">IF(AND(MONTH(D73)=MONTH(TODAY()),DAY(D73)=DAY(TODAY())),"生日快乐","")</f>
        <v/>
      </c>
    </row>
    <row r="74" spans="1:10" ht="24.6" x14ac:dyDescent="0.4">
      <c r="A74" s="10">
        <v>73</v>
      </c>
      <c r="B74" s="6" t="s">
        <v>139</v>
      </c>
      <c r="C74" s="6" t="s">
        <v>140</v>
      </c>
      <c r="D74" s="7">
        <v>43686</v>
      </c>
      <c r="E74" s="11" t="s">
        <v>143</v>
      </c>
      <c r="F74" s="6">
        <v>6</v>
      </c>
      <c r="G74" s="12" t="str">
        <f>IF(AND(F74&lt;=10, F74&gt;=9), "S", IF(F74&gt;=8, "A", IF(F74&gt;=7, "B", "C")))</f>
        <v>C</v>
      </c>
      <c r="H74" s="13">
        <f ca="1">YEAR(TODAY())-YEAR(D74)</f>
        <v>7</v>
      </c>
      <c r="I74" s="13" t="str">
        <f ca="1">IF(MOD(H74,10)=0,H74&amp;"周岁快乐","")</f>
        <v/>
      </c>
      <c r="J74" s="13" t="str">
        <f ca="1">IF(AND(MONTH(D74)=MONTH(TODAY()),DAY(D74)=DAY(TODAY())),"生日快乐","")</f>
        <v/>
      </c>
    </row>
    <row r="75" spans="1:10" ht="24.6" x14ac:dyDescent="0.4">
      <c r="A75" s="10"/>
      <c r="B75" s="6"/>
      <c r="C75" s="6"/>
      <c r="D75" s="7"/>
      <c r="E75" s="11"/>
      <c r="F75" s="6"/>
      <c r="G75" s="12" t="str">
        <f t="shared" ref="G75:G76" si="3">IF(AND(F75&lt;=10, F75&gt;=9), "S", IF(F75&gt;=8, "A", IF(F75&gt;=7, "B", "C")))</f>
        <v>C</v>
      </c>
      <c r="H75" s="13">
        <f t="shared" ref="H75:H76" ca="1" si="4">YEAR(TODAY())-YEAR(D75)</f>
        <v>126</v>
      </c>
      <c r="I75" s="13" t="str">
        <f t="shared" ref="I75:I76" ca="1" si="5">IF(MOD(H75,10)=0,H75&amp;"周岁快乐","")</f>
        <v/>
      </c>
      <c r="J75" s="13" t="str">
        <f t="shared" ref="J75:J76" ca="1" si="6">IF(AND(MONTH(D75)=MONTH(TODAY()),DAY(D75)=DAY(TODAY())),"生日快乐","")</f>
        <v/>
      </c>
    </row>
    <row r="76" spans="1:10" ht="24.6" x14ac:dyDescent="0.4">
      <c r="A76" s="10"/>
      <c r="B76" s="6"/>
      <c r="C76" s="6"/>
      <c r="D76" s="7"/>
      <c r="E76" s="11"/>
      <c r="F76" s="6"/>
      <c r="G76" s="12" t="str">
        <f t="shared" si="3"/>
        <v>C</v>
      </c>
      <c r="H76" s="13">
        <f t="shared" ca="1" si="4"/>
        <v>126</v>
      </c>
      <c r="I76" s="13" t="str">
        <f t="shared" ca="1" si="5"/>
        <v/>
      </c>
      <c r="J76" s="13" t="str">
        <f t="shared" ca="1" si="6"/>
        <v/>
      </c>
    </row>
    <row r="77" spans="1:10" ht="24.6" x14ac:dyDescent="0.4">
      <c r="A77" s="10"/>
      <c r="B77" s="6"/>
      <c r="C77" s="6"/>
      <c r="D77" s="7"/>
      <c r="E77" s="11"/>
      <c r="F77" s="6"/>
      <c r="G77" s="12"/>
      <c r="H77" s="13"/>
      <c r="I77" s="13"/>
      <c r="J77" s="13"/>
    </row>
    <row r="78" spans="1:10" ht="24.6" x14ac:dyDescent="0.4">
      <c r="A78" s="10"/>
      <c r="B78" s="6"/>
      <c r="C78" s="6"/>
      <c r="D78" s="7"/>
      <c r="E78" s="11"/>
      <c r="F78" s="6"/>
      <c r="G78" s="12"/>
      <c r="H78" s="13"/>
      <c r="I78" s="13"/>
      <c r="J78" s="13"/>
    </row>
    <row r="79" spans="1:10" ht="24.6" x14ac:dyDescent="0.4">
      <c r="A79" s="10"/>
      <c r="B79" s="6"/>
      <c r="C79" s="6"/>
      <c r="D79" s="7"/>
      <c r="E79" s="11"/>
      <c r="F79" s="6"/>
      <c r="G79" s="12"/>
      <c r="H79" s="13"/>
      <c r="I79" s="13"/>
      <c r="J79" s="13"/>
    </row>
    <row r="80" spans="1:10" ht="24.6" x14ac:dyDescent="0.4">
      <c r="A80" s="10"/>
      <c r="B80" s="6"/>
      <c r="C80" s="6"/>
      <c r="D80" s="7"/>
      <c r="E80" s="11"/>
      <c r="F80" s="6"/>
      <c r="G80" s="12"/>
      <c r="H80" s="13"/>
      <c r="I80" s="13"/>
      <c r="J80" s="13"/>
    </row>
    <row r="81" spans="1:10" ht="24.6" x14ac:dyDescent="0.4">
      <c r="A81" s="10"/>
      <c r="B81" s="6"/>
      <c r="C81" s="6"/>
      <c r="D81" s="7"/>
      <c r="E81" s="11"/>
      <c r="F81" s="6"/>
      <c r="G81" s="12"/>
      <c r="H81" s="13"/>
      <c r="I81" s="13"/>
      <c r="J81" s="13"/>
    </row>
    <row r="82" spans="1:10" ht="24.6" x14ac:dyDescent="0.4">
      <c r="A82" s="10"/>
      <c r="B82" s="6"/>
      <c r="C82" s="6"/>
      <c r="D82" s="7"/>
      <c r="E82" s="11"/>
      <c r="F82" s="6"/>
      <c r="G82" s="12"/>
      <c r="H82" s="13"/>
      <c r="I82" s="13"/>
      <c r="J82" s="13"/>
    </row>
    <row r="83" spans="1:10" ht="24.6" x14ac:dyDescent="0.4">
      <c r="A83" s="10"/>
      <c r="B83" s="6"/>
      <c r="C83" s="6"/>
      <c r="D83" s="7"/>
      <c r="E83" s="11"/>
      <c r="F83" s="6"/>
      <c r="G83" s="12"/>
      <c r="H83" s="13"/>
      <c r="I83" s="13"/>
      <c r="J83" s="13"/>
    </row>
    <row r="84" spans="1:10" ht="24.6" x14ac:dyDescent="0.4">
      <c r="A84" s="10"/>
      <c r="B84" s="6"/>
      <c r="C84" s="6"/>
      <c r="D84" s="7"/>
      <c r="E84" s="11"/>
      <c r="F84" s="6"/>
      <c r="G84" s="12"/>
      <c r="H84" s="13"/>
      <c r="I84" s="13"/>
      <c r="J84" s="13"/>
    </row>
    <row r="85" spans="1:10" ht="24.6" x14ac:dyDescent="0.4">
      <c r="A85" s="10"/>
      <c r="B85" s="6"/>
      <c r="C85" s="6"/>
      <c r="D85" s="7"/>
      <c r="E85" s="11"/>
      <c r="F85" s="6"/>
      <c r="G85" s="12"/>
      <c r="H85" s="13"/>
      <c r="I85" s="13"/>
      <c r="J85" s="13"/>
    </row>
    <row r="86" spans="1:10" ht="24.6" x14ac:dyDescent="0.4">
      <c r="A86" s="10"/>
      <c r="B86" s="6"/>
      <c r="C86" s="14"/>
      <c r="D86" s="7"/>
      <c r="E86" s="11"/>
      <c r="F86" s="6"/>
      <c r="G86" s="12"/>
      <c r="H86" s="13"/>
      <c r="I86" s="13"/>
      <c r="J86" s="13"/>
    </row>
    <row r="87" spans="1:10" ht="24.6" x14ac:dyDescent="0.4">
      <c r="A87" s="10"/>
      <c r="B87" s="6"/>
      <c r="C87" s="6"/>
      <c r="D87" s="7"/>
      <c r="E87" s="11"/>
      <c r="F87" s="6"/>
      <c r="G87" s="12"/>
      <c r="H87" s="13"/>
      <c r="I87" s="13"/>
      <c r="J87" s="13"/>
    </row>
    <row r="88" spans="1:10" ht="24.6" x14ac:dyDescent="0.4">
      <c r="A88" s="10"/>
      <c r="B88" s="6"/>
      <c r="C88" s="6"/>
      <c r="D88" s="7"/>
      <c r="E88" s="11"/>
      <c r="F88" s="6"/>
      <c r="G88" s="12"/>
      <c r="H88" s="13"/>
      <c r="I88" s="13"/>
      <c r="J88" s="13"/>
    </row>
    <row r="89" spans="1:10" ht="24.6" x14ac:dyDescent="0.4">
      <c r="A89" s="10"/>
      <c r="B89" s="6"/>
      <c r="C89" s="6"/>
      <c r="D89" s="7"/>
      <c r="E89" s="11"/>
      <c r="F89" s="6"/>
      <c r="G89" s="12"/>
      <c r="H89" s="13"/>
      <c r="I89" s="13"/>
      <c r="J89" s="13"/>
    </row>
    <row r="90" spans="1:10" ht="24.6" x14ac:dyDescent="0.4">
      <c r="A90" s="10"/>
      <c r="B90" s="6"/>
      <c r="C90" s="6"/>
      <c r="D90" s="7"/>
      <c r="E90" s="11"/>
      <c r="F90" s="6"/>
      <c r="G90" s="12"/>
      <c r="H90" s="13"/>
      <c r="I90" s="13"/>
      <c r="J90" s="13"/>
    </row>
    <row r="91" spans="1:10" ht="24.6" x14ac:dyDescent="0.4">
      <c r="A91" s="10"/>
      <c r="B91" s="6"/>
      <c r="C91" s="6"/>
      <c r="D91" s="7"/>
      <c r="E91" s="11"/>
      <c r="F91" s="6"/>
      <c r="G91" s="12"/>
      <c r="H91" s="13"/>
      <c r="I91" s="13"/>
      <c r="J91" s="13"/>
    </row>
    <row r="92" spans="1:10" ht="24.6" x14ac:dyDescent="0.4">
      <c r="A92" s="10"/>
      <c r="B92" s="6"/>
      <c r="C92" s="6"/>
      <c r="D92" s="7"/>
      <c r="E92" s="11"/>
      <c r="F92" s="6"/>
      <c r="G92" s="12"/>
      <c r="H92" s="13"/>
      <c r="I92" s="13"/>
      <c r="J92" s="13"/>
    </row>
    <row r="93" spans="1:10" ht="24.6" x14ac:dyDescent="0.4">
      <c r="A93" s="10"/>
      <c r="B93" s="6"/>
      <c r="C93" s="6"/>
      <c r="D93" s="7"/>
      <c r="E93" s="11"/>
      <c r="F93" s="6"/>
      <c r="G93" s="12"/>
      <c r="H93" s="13"/>
      <c r="I93" s="13"/>
      <c r="J93" s="13"/>
    </row>
    <row r="94" spans="1:10" ht="24.6" x14ac:dyDescent="0.4">
      <c r="A94" s="10"/>
      <c r="B94" s="6"/>
      <c r="C94" s="6"/>
      <c r="D94" s="7"/>
      <c r="E94" s="11"/>
      <c r="F94" s="6"/>
      <c r="G94" s="12"/>
      <c r="H94" s="13"/>
      <c r="I94" s="13"/>
      <c r="J94" s="13"/>
    </row>
    <row r="95" spans="1:10" ht="24.6" x14ac:dyDescent="0.4">
      <c r="A95" s="10"/>
      <c r="B95" s="6"/>
      <c r="C95" s="6"/>
      <c r="D95" s="7"/>
      <c r="E95" s="11"/>
      <c r="F95" s="6"/>
      <c r="G95" s="12"/>
      <c r="H95" s="13"/>
      <c r="I95" s="13"/>
      <c r="J95" s="13"/>
    </row>
    <row r="96" spans="1:10" ht="24.6" x14ac:dyDescent="0.4">
      <c r="A96" s="10"/>
      <c r="B96" s="6"/>
      <c r="C96" s="6"/>
      <c r="D96" s="7"/>
      <c r="E96" s="11"/>
      <c r="F96" s="6"/>
      <c r="G96" s="12"/>
      <c r="H96" s="13"/>
      <c r="I96" s="13"/>
      <c r="J96" s="13"/>
    </row>
    <row r="97" spans="1:10" ht="24.6" x14ac:dyDescent="0.4">
      <c r="A97" s="10"/>
      <c r="B97" s="6"/>
      <c r="C97" s="6"/>
      <c r="D97" s="7"/>
      <c r="E97" s="11"/>
      <c r="F97" s="6"/>
      <c r="G97" s="12"/>
      <c r="H97" s="13"/>
      <c r="I97" s="13"/>
      <c r="J97" s="13"/>
    </row>
    <row r="98" spans="1:10" ht="24.6" x14ac:dyDescent="0.4">
      <c r="A98" s="10"/>
      <c r="B98" s="6"/>
      <c r="C98" s="6"/>
      <c r="D98" s="7"/>
      <c r="E98" s="11"/>
      <c r="F98" s="6"/>
      <c r="G98" s="12"/>
      <c r="H98" s="13"/>
      <c r="I98" s="13"/>
      <c r="J98" s="13"/>
    </row>
    <row r="99" spans="1:10" ht="24.6" x14ac:dyDescent="0.4">
      <c r="A99" s="10"/>
      <c r="B99" s="6"/>
      <c r="C99" s="6"/>
      <c r="D99" s="7"/>
      <c r="E99" s="11"/>
      <c r="F99" s="6"/>
      <c r="G99" s="12"/>
      <c r="H99" s="13"/>
      <c r="I99" s="13"/>
      <c r="J99" s="13"/>
    </row>
    <row r="100" spans="1:10" ht="24.6" x14ac:dyDescent="0.4">
      <c r="A100" s="10"/>
      <c r="B100" s="6"/>
      <c r="C100" s="6"/>
      <c r="D100" s="7"/>
      <c r="E100" s="11"/>
      <c r="F100" s="6"/>
      <c r="G100" s="12"/>
      <c r="H100" s="13"/>
      <c r="I100" s="13"/>
      <c r="J100" s="13"/>
    </row>
    <row r="101" spans="1:10" x14ac:dyDescent="0.25"/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</sheetData>
  <autoFilter ref="A1:J76" xr:uid="{00000000-0001-0000-0000-000000000000}"/>
  <sortState xmlns:xlrd2="http://schemas.microsoft.com/office/spreadsheetml/2017/richdata2" ref="A2:G295">
    <sortCondition descending="1" ref="F160:F295"/>
  </sortState>
  <phoneticPr fontId="1" type="noConversion"/>
  <conditionalFormatting sqref="G2:G100">
    <cfRule type="cellIs" dxfId="17" priority="3" operator="equal">
      <formula>"C"</formula>
    </cfRule>
    <cfRule type="cellIs" dxfId="16" priority="4" operator="equal">
      <formula>"B"</formula>
    </cfRule>
    <cfRule type="cellIs" dxfId="15" priority="5" operator="equal">
      <formula>"A"</formula>
    </cfRule>
    <cfRule type="cellIs" dxfId="14" priority="6" operator="equal">
      <formula>"S"</formula>
    </cfRule>
  </conditionalFormatting>
  <conditionalFormatting sqref="I2:I100">
    <cfRule type="notContainsBlanks" dxfId="13" priority="1">
      <formula>LEN(TRIM(I2))&gt;0</formula>
    </cfRule>
  </conditionalFormatting>
  <conditionalFormatting sqref="J2:J100">
    <cfRule type="containsText" dxfId="12" priority="2" operator="containsText" text="生日快乐">
      <formula>NOT(ISERROR(SEARCH("生日快乐",J2)))</formula>
    </cfRule>
  </conditionalFormatting>
  <dataValidations count="2">
    <dataValidation type="list" allowBlank="1" showInputMessage="1" showErrorMessage="1" sqref="G2:G100" xr:uid="{568040E6-2B09-4003-AB49-707AD027403E}">
      <formula1>"S,A,B,C"</formula1>
    </dataValidation>
    <dataValidation type="decimal" allowBlank="1" showInputMessage="1" showErrorMessage="1" sqref="F2:F100" xr:uid="{9E81D9D0-1D4E-4A34-A297-97BFF1D82B45}">
      <formula1>6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7287-028B-4515-8DA7-8230EF1B7018}">
  <dimension ref="A1:J251"/>
  <sheetViews>
    <sheetView zoomScale="85" zoomScaleNormal="85" workbookViewId="0">
      <pane ySplit="1" topLeftCell="A2" activePane="bottomLeft" state="frozen"/>
      <selection pane="bottomLeft" activeCell="C16" sqref="C16"/>
    </sheetView>
  </sheetViews>
  <sheetFormatPr defaultColWidth="0" defaultRowHeight="13.8" zeroHeight="1" x14ac:dyDescent="0.25"/>
  <cols>
    <col min="1" max="1" width="14.109375" bestFit="1" customWidth="1"/>
    <col min="2" max="2" width="44.33203125" bestFit="1" customWidth="1"/>
    <col min="3" max="3" width="110.6640625" customWidth="1"/>
    <col min="4" max="4" width="23.5546875" bestFit="1" customWidth="1"/>
    <col min="5" max="5" width="35.88671875" bestFit="1" customWidth="1"/>
    <col min="6" max="6" width="21.44140625" bestFit="1" customWidth="1"/>
    <col min="7" max="8" width="14.109375" bestFit="1" customWidth="1"/>
    <col min="9" max="9" width="14.21875" bestFit="1" customWidth="1"/>
    <col min="10" max="10" width="14.109375" bestFit="1" customWidth="1"/>
    <col min="11" max="16384" width="8.88671875" hidden="1"/>
  </cols>
  <sheetData>
    <row r="1" spans="1:10" ht="25.8" x14ac:dyDescent="0.25">
      <c r="A1" s="8" t="s">
        <v>2</v>
      </c>
      <c r="B1" s="8" t="s">
        <v>18</v>
      </c>
      <c r="C1" s="8" t="s">
        <v>0</v>
      </c>
      <c r="D1" s="9" t="s">
        <v>3</v>
      </c>
      <c r="E1" s="8" t="s">
        <v>14</v>
      </c>
      <c r="F1" s="8" t="s">
        <v>13</v>
      </c>
      <c r="G1" s="8" t="s">
        <v>1</v>
      </c>
      <c r="H1" s="8" t="s">
        <v>15</v>
      </c>
      <c r="I1" s="8" t="s">
        <v>17</v>
      </c>
      <c r="J1" s="8" t="s">
        <v>16</v>
      </c>
    </row>
    <row r="2" spans="1:10" ht="24.6" x14ac:dyDescent="0.4">
      <c r="A2" s="10">
        <v>1</v>
      </c>
      <c r="B2" s="6" t="s">
        <v>149</v>
      </c>
      <c r="C2" s="6" t="s">
        <v>150</v>
      </c>
      <c r="D2" s="7">
        <v>31204</v>
      </c>
      <c r="E2" s="11" t="s">
        <v>143</v>
      </c>
      <c r="F2" s="6">
        <v>9.9</v>
      </c>
      <c r="G2" s="12" t="str">
        <f>IF(AND(F2&lt;=10, F2&gt;=9), "S", IF(F2&gt;=8, "A", IF(F2&gt;=7, "B", "C")))</f>
        <v>S</v>
      </c>
      <c r="H2" s="13">
        <f ca="1">YEAR(TODAY())-YEAR(D2)</f>
        <v>41</v>
      </c>
      <c r="I2" s="13" t="str">
        <f ca="1">IF(MOD(H2,10)=0,H2&amp;"周岁快乐","")</f>
        <v/>
      </c>
      <c r="J2" s="13" t="str">
        <f ca="1">IF(AND(MONTH(D2)=MONTH(TODAY()),DAY(D2)=DAY(TODAY())),"生日快乐","")</f>
        <v/>
      </c>
    </row>
    <row r="3" spans="1:10" ht="24.6" x14ac:dyDescent="0.4">
      <c r="A3" s="10">
        <v>2</v>
      </c>
      <c r="B3" s="6" t="s">
        <v>151</v>
      </c>
      <c r="C3" s="6" t="s">
        <v>152</v>
      </c>
      <c r="D3" s="7">
        <v>37016</v>
      </c>
      <c r="E3" s="11" t="s">
        <v>143</v>
      </c>
      <c r="F3" s="6">
        <v>9.9</v>
      </c>
      <c r="G3" s="12" t="str">
        <f>IF(AND(F3&lt;=10, F3&gt;=9), "S", IF(F3&gt;=8, "A", IF(F3&gt;=7, "B", "C")))</f>
        <v>S</v>
      </c>
      <c r="H3" s="13">
        <f ca="1">YEAR(TODAY())-YEAR(D3)</f>
        <v>25</v>
      </c>
      <c r="I3" s="13" t="str">
        <f ca="1">IF(MOD(H3,10)=0,H3&amp;"周岁快乐","")</f>
        <v/>
      </c>
      <c r="J3" s="13" t="str">
        <f ca="1">IF(AND(MONTH(D3)=MONTH(TODAY()),DAY(D3)=DAY(TODAY())),"生日快乐","")</f>
        <v/>
      </c>
    </row>
    <row r="4" spans="1:10" ht="24.6" x14ac:dyDescent="0.4">
      <c r="A4" s="10">
        <v>3</v>
      </c>
      <c r="B4" s="6" t="s">
        <v>153</v>
      </c>
      <c r="C4" s="6" t="s">
        <v>154</v>
      </c>
      <c r="D4" s="7">
        <v>41248</v>
      </c>
      <c r="E4" s="11" t="s">
        <v>143</v>
      </c>
      <c r="F4" s="6">
        <v>9.9</v>
      </c>
      <c r="G4" s="12" t="str">
        <f>IF(AND(F4&lt;=10, F4&gt;=9), "S", IF(F4&gt;=8, "A", IF(F4&gt;=7, "B", "C")))</f>
        <v>S</v>
      </c>
      <c r="H4" s="13">
        <f ca="1">YEAR(TODAY())-YEAR(D4)</f>
        <v>14</v>
      </c>
      <c r="I4" s="13" t="str">
        <f ca="1">IF(MOD(H4,10)=0,H4&amp;"周岁快乐","")</f>
        <v/>
      </c>
      <c r="J4" s="13" t="str">
        <f ca="1">IF(AND(MONTH(D4)=MONTH(TODAY()),DAY(D4)=DAY(TODAY())),"生日快乐","")</f>
        <v/>
      </c>
    </row>
    <row r="5" spans="1:10" ht="24.6" x14ac:dyDescent="0.4">
      <c r="A5" s="10">
        <v>4</v>
      </c>
      <c r="B5" s="6" t="s">
        <v>155</v>
      </c>
      <c r="C5" s="6" t="s">
        <v>156</v>
      </c>
      <c r="D5" s="7">
        <v>38204</v>
      </c>
      <c r="E5" s="11" t="s">
        <v>143</v>
      </c>
      <c r="F5" s="6">
        <v>9.9</v>
      </c>
      <c r="G5" s="12" t="str">
        <f>IF(AND(F5&lt;=10, F5&gt;=9), "S", IF(F5&gt;=8, "A", IF(F5&gt;=7, "B", "C")))</f>
        <v>S</v>
      </c>
      <c r="H5" s="13">
        <f ca="1">YEAR(TODAY())-YEAR(D5)</f>
        <v>22</v>
      </c>
      <c r="I5" s="13" t="str">
        <f ca="1">IF(MOD(H5,10)=0,H5&amp;"周岁快乐","")</f>
        <v/>
      </c>
      <c r="J5" s="13" t="str">
        <f ca="1">IF(AND(MONTH(D5)=MONTH(TODAY()),DAY(D5)=DAY(TODAY())),"生日快乐","")</f>
        <v/>
      </c>
    </row>
    <row r="6" spans="1:10" ht="24.6" x14ac:dyDescent="0.4">
      <c r="A6" s="10">
        <v>5</v>
      </c>
      <c r="B6" s="6" t="s">
        <v>157</v>
      </c>
      <c r="C6" s="6" t="s">
        <v>158</v>
      </c>
      <c r="D6" s="7">
        <v>40218</v>
      </c>
      <c r="E6" s="11" t="s">
        <v>143</v>
      </c>
      <c r="F6" s="6">
        <v>9.9</v>
      </c>
      <c r="G6" s="12" t="str">
        <f>IF(AND(F6&lt;=10, F6&gt;=9), "S", IF(F6&gt;=8, "A", IF(F6&gt;=7, "B", "C")))</f>
        <v>S</v>
      </c>
      <c r="H6" s="13">
        <f ca="1">YEAR(TODAY())-YEAR(D6)</f>
        <v>16</v>
      </c>
      <c r="I6" s="13" t="str">
        <f ca="1">IF(MOD(H6,10)=0,H6&amp;"周岁快乐","")</f>
        <v/>
      </c>
      <c r="J6" s="13" t="str">
        <f ca="1">IF(AND(MONTH(D6)=MONTH(TODAY()),DAY(D6)=DAY(TODAY())),"生日快乐","")</f>
        <v/>
      </c>
    </row>
    <row r="7" spans="1:10" ht="24.6" x14ac:dyDescent="0.4">
      <c r="A7" s="10">
        <v>6</v>
      </c>
      <c r="B7" s="6" t="s">
        <v>159</v>
      </c>
      <c r="C7" s="6" t="s">
        <v>160</v>
      </c>
      <c r="D7" s="7">
        <v>40030</v>
      </c>
      <c r="E7" s="11" t="s">
        <v>143</v>
      </c>
      <c r="F7" s="6">
        <v>9.9</v>
      </c>
      <c r="G7" s="12" t="str">
        <f>IF(AND(F7&lt;=10, F7&gt;=9), "S", IF(F7&gt;=8, "A", IF(F7&gt;=7, "B", "C")))</f>
        <v>S</v>
      </c>
      <c r="H7" s="13">
        <f ca="1">YEAR(TODAY())-YEAR(D7)</f>
        <v>17</v>
      </c>
      <c r="I7" s="13" t="str">
        <f ca="1">IF(MOD(H7,10)=0,H7&amp;"周岁快乐","")</f>
        <v/>
      </c>
      <c r="J7" s="13" t="str">
        <f ca="1">IF(AND(MONTH(D7)=MONTH(TODAY()),DAY(D7)=DAY(TODAY())),"生日快乐","")</f>
        <v/>
      </c>
    </row>
    <row r="8" spans="1:10" ht="24.6" x14ac:dyDescent="0.4">
      <c r="A8" s="10">
        <v>7</v>
      </c>
      <c r="B8" s="6" t="s">
        <v>161</v>
      </c>
      <c r="C8" s="6" t="s">
        <v>162</v>
      </c>
      <c r="D8" s="7">
        <v>40557</v>
      </c>
      <c r="E8" s="11" t="s">
        <v>143</v>
      </c>
      <c r="F8" s="6">
        <v>9.9</v>
      </c>
      <c r="G8" s="12" t="str">
        <f>IF(AND(F8&lt;=10, F8&gt;=9), "S", IF(F8&gt;=8, "A", IF(F8&gt;=7, "B", "C")))</f>
        <v>S</v>
      </c>
      <c r="H8" s="13">
        <f ca="1">YEAR(TODAY())-YEAR(D8)</f>
        <v>15</v>
      </c>
      <c r="I8" s="13" t="str">
        <f ca="1">IF(MOD(H8,10)=0,H8&amp;"周岁快乐","")</f>
        <v/>
      </c>
      <c r="J8" s="13" t="str">
        <f ca="1">IF(AND(MONTH(D8)=MONTH(TODAY()),DAY(D8)=DAY(TODAY())),"生日快乐","")</f>
        <v/>
      </c>
    </row>
    <row r="9" spans="1:10" ht="24.6" x14ac:dyDescent="0.4">
      <c r="A9" s="10">
        <v>8</v>
      </c>
      <c r="B9" s="6" t="s">
        <v>163</v>
      </c>
      <c r="C9" s="6" t="s">
        <v>164</v>
      </c>
      <c r="D9" s="7">
        <v>39546</v>
      </c>
      <c r="E9" s="11" t="s">
        <v>143</v>
      </c>
      <c r="F9" s="6">
        <v>9.8000000000000007</v>
      </c>
      <c r="G9" s="12" t="str">
        <f>IF(AND(F9&lt;=10, F9&gt;=9), "S", IF(F9&gt;=8, "A", IF(F9&gt;=7, "B", "C")))</f>
        <v>S</v>
      </c>
      <c r="H9" s="13">
        <f ca="1">YEAR(TODAY())-YEAR(D9)</f>
        <v>18</v>
      </c>
      <c r="I9" s="13" t="str">
        <f ca="1">IF(MOD(H9,10)=0,H9&amp;"周岁快乐","")</f>
        <v/>
      </c>
      <c r="J9" s="13" t="str">
        <f ca="1">IF(AND(MONTH(D9)=MONTH(TODAY()),DAY(D9)=DAY(TODAY())),"生日快乐","")</f>
        <v/>
      </c>
    </row>
    <row r="10" spans="1:10" ht="24.6" x14ac:dyDescent="0.4">
      <c r="A10" s="10">
        <v>9</v>
      </c>
      <c r="B10" s="6" t="s">
        <v>165</v>
      </c>
      <c r="C10" s="6" t="s">
        <v>166</v>
      </c>
      <c r="D10" s="7">
        <v>40370</v>
      </c>
      <c r="E10" s="11" t="s">
        <v>143</v>
      </c>
      <c r="F10" s="6">
        <v>9.8000000000000007</v>
      </c>
      <c r="G10" s="12" t="str">
        <f>IF(AND(F10&lt;=10, F10&gt;=9), "S", IF(F10&gt;=8, "A", IF(F10&gt;=7, "B", "C")))</f>
        <v>S</v>
      </c>
      <c r="H10" s="13">
        <f ca="1">YEAR(TODAY())-YEAR(D10)</f>
        <v>16</v>
      </c>
      <c r="I10" s="13" t="str">
        <f ca="1">IF(MOD(H10,10)=0,H10&amp;"周岁快乐","")</f>
        <v/>
      </c>
      <c r="J10" s="13" t="str">
        <f ca="1">IF(AND(MONTH(D10)=MONTH(TODAY()),DAY(D10)=DAY(TODAY())),"生日快乐","")</f>
        <v/>
      </c>
    </row>
    <row r="11" spans="1:10" ht="24.6" x14ac:dyDescent="0.4">
      <c r="A11" s="10">
        <v>10</v>
      </c>
      <c r="B11" s="6" t="s">
        <v>167</v>
      </c>
      <c r="C11" s="6" t="s">
        <v>168</v>
      </c>
      <c r="D11" s="7">
        <v>34515</v>
      </c>
      <c r="E11" s="11" t="s">
        <v>143</v>
      </c>
      <c r="F11" s="6">
        <v>9.8000000000000007</v>
      </c>
      <c r="G11" s="12" t="str">
        <f>IF(AND(F11&lt;=10, F11&gt;=9), "S", IF(F11&gt;=8, "A", IF(F11&gt;=7, "B", "C")))</f>
        <v>S</v>
      </c>
      <c r="H11" s="13">
        <f ca="1">YEAR(TODAY())-YEAR(D11)</f>
        <v>32</v>
      </c>
      <c r="I11" s="13" t="str">
        <f ca="1">IF(MOD(H11,10)=0,H11&amp;"周岁快乐","")</f>
        <v/>
      </c>
      <c r="J11" s="13" t="str">
        <f ca="1">IF(AND(MONTH(D11)=MONTH(TODAY()),DAY(D11)=DAY(TODAY())),"生日快乐","")</f>
        <v/>
      </c>
    </row>
    <row r="12" spans="1:10" ht="24.6" x14ac:dyDescent="0.4">
      <c r="A12" s="10">
        <v>11</v>
      </c>
      <c r="B12" s="6" t="s">
        <v>169</v>
      </c>
      <c r="C12" s="6" t="s">
        <v>170</v>
      </c>
      <c r="D12" s="7">
        <v>42865</v>
      </c>
      <c r="E12" s="11" t="s">
        <v>143</v>
      </c>
      <c r="F12" s="6">
        <v>9.8000000000000007</v>
      </c>
      <c r="G12" s="12" t="str">
        <f>IF(AND(F12&lt;=10, F12&gt;=9), "S", IF(F12&gt;=8, "A", IF(F12&gt;=7, "B", "C")))</f>
        <v>S</v>
      </c>
      <c r="H12" s="13">
        <f ca="1">YEAR(TODAY())-YEAR(D12)</f>
        <v>9</v>
      </c>
      <c r="I12" s="13" t="str">
        <f ca="1">IF(MOD(H12,10)=0,H12&amp;"周岁快乐","")</f>
        <v/>
      </c>
      <c r="J12" s="13" t="str">
        <f ca="1">IF(AND(MONTH(D12)=MONTH(TODAY()),DAY(D12)=DAY(TODAY())),"生日快乐","")</f>
        <v/>
      </c>
    </row>
    <row r="13" spans="1:10" ht="24.6" x14ac:dyDescent="0.4">
      <c r="A13" s="10"/>
      <c r="B13" s="6"/>
      <c r="C13" s="6"/>
      <c r="D13" s="7"/>
      <c r="E13" s="15"/>
      <c r="F13" s="6"/>
      <c r="G13" s="12"/>
      <c r="H13" s="13"/>
      <c r="I13" s="13"/>
      <c r="J13" s="13"/>
    </row>
    <row r="14" spans="1:10" ht="24.6" x14ac:dyDescent="0.4">
      <c r="A14" s="10"/>
      <c r="B14" s="6"/>
      <c r="C14" s="6"/>
      <c r="D14" s="7"/>
      <c r="E14" s="11"/>
      <c r="F14" s="6"/>
      <c r="G14" s="12"/>
      <c r="H14" s="13"/>
      <c r="I14" s="13"/>
      <c r="J14" s="13"/>
    </row>
    <row r="15" spans="1:10" ht="24.6" x14ac:dyDescent="0.4">
      <c r="A15" s="10"/>
      <c r="B15" s="6"/>
      <c r="C15" s="6"/>
      <c r="D15" s="7"/>
      <c r="E15" s="11"/>
      <c r="F15" s="6"/>
      <c r="G15" s="12"/>
      <c r="H15" s="13"/>
      <c r="I15" s="13"/>
      <c r="J15" s="13"/>
    </row>
    <row r="16" spans="1:10" ht="24.6" x14ac:dyDescent="0.4">
      <c r="A16" s="10"/>
      <c r="B16" s="6"/>
      <c r="C16" s="6"/>
      <c r="D16" s="7"/>
      <c r="E16" s="11"/>
      <c r="F16" s="6"/>
      <c r="G16" s="12"/>
      <c r="H16" s="13"/>
      <c r="I16" s="13"/>
      <c r="J16" s="13"/>
    </row>
    <row r="17" spans="1:10" ht="24.6" x14ac:dyDescent="0.4">
      <c r="A17" s="10"/>
      <c r="B17" s="6"/>
      <c r="C17" s="6"/>
      <c r="D17" s="7"/>
      <c r="E17" s="11"/>
      <c r="F17" s="6"/>
      <c r="G17" s="12"/>
      <c r="H17" s="13"/>
      <c r="I17" s="13"/>
      <c r="J17" s="13"/>
    </row>
    <row r="18" spans="1:10" ht="24.6" x14ac:dyDescent="0.4">
      <c r="A18" s="10"/>
      <c r="B18" s="6"/>
      <c r="C18" s="6"/>
      <c r="D18" s="7"/>
      <c r="E18" s="11"/>
      <c r="F18" s="6"/>
      <c r="G18" s="12"/>
      <c r="H18" s="13"/>
      <c r="I18" s="13"/>
      <c r="J18" s="13"/>
    </row>
    <row r="19" spans="1:10" ht="24.6" x14ac:dyDescent="0.4">
      <c r="A19" s="10"/>
      <c r="B19" s="6"/>
      <c r="C19" s="6"/>
      <c r="D19" s="7"/>
      <c r="E19" s="11"/>
      <c r="F19" s="6"/>
      <c r="G19" s="12"/>
      <c r="H19" s="13"/>
      <c r="I19" s="13"/>
      <c r="J19" s="13"/>
    </row>
    <row r="20" spans="1:10" ht="24.6" x14ac:dyDescent="0.4">
      <c r="A20" s="10"/>
      <c r="B20" s="6"/>
      <c r="C20" s="6"/>
      <c r="D20" s="7"/>
      <c r="E20" s="11"/>
      <c r="F20" s="6"/>
      <c r="G20" s="12"/>
      <c r="H20" s="13"/>
      <c r="I20" s="13"/>
      <c r="J20" s="13"/>
    </row>
    <row r="21" spans="1:10" ht="24.6" x14ac:dyDescent="0.4">
      <c r="A21" s="10"/>
      <c r="B21" s="6"/>
      <c r="C21" s="6"/>
      <c r="D21" s="7"/>
      <c r="E21" s="11"/>
      <c r="F21" s="6"/>
      <c r="G21" s="12"/>
      <c r="H21" s="13"/>
      <c r="I21" s="13"/>
      <c r="J21" s="13"/>
    </row>
    <row r="22" spans="1:10" ht="24.6" x14ac:dyDescent="0.4">
      <c r="A22" s="10"/>
      <c r="B22" s="6"/>
      <c r="C22" s="6"/>
      <c r="D22" s="7"/>
      <c r="E22" s="15"/>
      <c r="F22" s="6"/>
      <c r="G22" s="12"/>
      <c r="H22" s="13"/>
      <c r="I22" s="13"/>
      <c r="J22" s="13"/>
    </row>
    <row r="23" spans="1:10" ht="24.6" x14ac:dyDescent="0.4">
      <c r="A23" s="10"/>
      <c r="B23" s="6"/>
      <c r="C23" s="6"/>
      <c r="D23" s="7"/>
      <c r="E23" s="11"/>
      <c r="F23" s="6"/>
      <c r="G23" s="12"/>
      <c r="H23" s="13"/>
      <c r="I23" s="13"/>
      <c r="J23" s="13"/>
    </row>
    <row r="24" spans="1:10" ht="24.6" x14ac:dyDescent="0.4">
      <c r="A24" s="10"/>
      <c r="B24" s="6"/>
      <c r="C24" s="6"/>
      <c r="D24" s="7"/>
      <c r="E24" s="11"/>
      <c r="F24" s="6"/>
      <c r="G24" s="12"/>
      <c r="H24" s="13"/>
      <c r="I24" s="13"/>
      <c r="J24" s="13"/>
    </row>
    <row r="25" spans="1:10" ht="24.6" x14ac:dyDescent="0.4">
      <c r="A25" s="10"/>
      <c r="B25" s="6"/>
      <c r="C25" s="6"/>
      <c r="D25" s="7"/>
      <c r="E25" s="11"/>
      <c r="F25" s="6"/>
      <c r="G25" s="12"/>
      <c r="H25" s="13"/>
      <c r="I25" s="13"/>
      <c r="J25" s="13"/>
    </row>
    <row r="26" spans="1:10" ht="24.6" x14ac:dyDescent="0.4">
      <c r="A26" s="10"/>
      <c r="B26" s="6"/>
      <c r="C26" s="6"/>
      <c r="D26" s="7"/>
      <c r="E26" s="11"/>
      <c r="F26" s="6"/>
      <c r="G26" s="12"/>
      <c r="H26" s="13"/>
      <c r="I26" s="13"/>
      <c r="J26" s="13"/>
    </row>
    <row r="27" spans="1:10" ht="24.6" x14ac:dyDescent="0.4">
      <c r="A27" s="10"/>
      <c r="B27" s="6"/>
      <c r="C27" s="6"/>
      <c r="D27" s="7"/>
      <c r="E27" s="15"/>
      <c r="F27" s="6"/>
      <c r="G27" s="12"/>
      <c r="H27" s="13"/>
      <c r="I27" s="13"/>
      <c r="J27" s="13"/>
    </row>
    <row r="28" spans="1:10" ht="24.6" x14ac:dyDescent="0.4">
      <c r="A28" s="10"/>
      <c r="B28" s="6"/>
      <c r="C28" s="6"/>
      <c r="D28" s="7"/>
      <c r="E28" s="11"/>
      <c r="F28" s="6"/>
      <c r="G28" s="12"/>
      <c r="H28" s="13"/>
      <c r="I28" s="13"/>
      <c r="J28" s="13"/>
    </row>
    <row r="29" spans="1:10" ht="24.6" x14ac:dyDescent="0.4">
      <c r="A29" s="10"/>
      <c r="B29" s="6"/>
      <c r="C29" s="6"/>
      <c r="D29" s="7"/>
      <c r="E29" s="11"/>
      <c r="F29" s="6"/>
      <c r="G29" s="12"/>
      <c r="H29" s="13"/>
      <c r="I29" s="13"/>
      <c r="J29" s="13"/>
    </row>
    <row r="30" spans="1:10" ht="24.6" x14ac:dyDescent="0.4">
      <c r="A30" s="10"/>
      <c r="B30" s="6"/>
      <c r="C30" s="6"/>
      <c r="D30" s="7"/>
      <c r="E30" s="15"/>
      <c r="F30" s="6"/>
      <c r="G30" s="12"/>
      <c r="H30" s="13"/>
      <c r="I30" s="13"/>
      <c r="J30" s="13"/>
    </row>
    <row r="31" spans="1:10" ht="24.6" x14ac:dyDescent="0.4">
      <c r="A31" s="10"/>
      <c r="B31" s="6"/>
      <c r="C31" s="6"/>
      <c r="D31" s="7"/>
      <c r="E31" s="11"/>
      <c r="F31" s="6"/>
      <c r="G31" s="12"/>
      <c r="H31" s="13"/>
      <c r="I31" s="13"/>
      <c r="J31" s="13"/>
    </row>
    <row r="32" spans="1:10" ht="24.6" x14ac:dyDescent="0.4">
      <c r="A32" s="10"/>
      <c r="B32" s="6"/>
      <c r="C32" s="6"/>
      <c r="D32" s="7"/>
      <c r="E32" s="11"/>
      <c r="F32" s="6"/>
      <c r="G32" s="12"/>
      <c r="H32" s="13"/>
      <c r="I32" s="13"/>
      <c r="J32" s="13"/>
    </row>
    <row r="33" spans="1:10" ht="24.6" x14ac:dyDescent="0.4">
      <c r="A33" s="10"/>
      <c r="B33" s="6"/>
      <c r="C33" s="6"/>
      <c r="D33" s="7"/>
      <c r="E33" s="11"/>
      <c r="F33" s="6"/>
      <c r="G33" s="12"/>
      <c r="H33" s="13"/>
      <c r="I33" s="13"/>
      <c r="J33" s="13"/>
    </row>
    <row r="34" spans="1:10" ht="24.6" x14ac:dyDescent="0.4">
      <c r="A34" s="10"/>
      <c r="B34" s="6"/>
      <c r="C34" s="6"/>
      <c r="D34" s="7"/>
      <c r="E34" s="11"/>
      <c r="F34" s="6"/>
      <c r="G34" s="12"/>
      <c r="H34" s="13"/>
      <c r="I34" s="13"/>
      <c r="J34" s="13"/>
    </row>
    <row r="35" spans="1:10" ht="24.6" x14ac:dyDescent="0.4">
      <c r="A35" s="10"/>
      <c r="B35" s="6"/>
      <c r="C35" s="6"/>
      <c r="D35" s="7"/>
      <c r="E35" s="11"/>
      <c r="F35" s="6"/>
      <c r="G35" s="12"/>
      <c r="H35" s="13"/>
      <c r="I35" s="13"/>
      <c r="J35" s="13"/>
    </row>
    <row r="36" spans="1:10" ht="24.6" x14ac:dyDescent="0.4">
      <c r="A36" s="10"/>
      <c r="B36" s="6"/>
      <c r="C36" s="6"/>
      <c r="D36" s="7"/>
      <c r="E36" s="11"/>
      <c r="F36" s="6"/>
      <c r="G36" s="12"/>
      <c r="H36" s="13"/>
      <c r="I36" s="13"/>
      <c r="J36" s="13"/>
    </row>
    <row r="37" spans="1:10" ht="24.6" x14ac:dyDescent="0.4">
      <c r="A37" s="10"/>
      <c r="B37" s="6"/>
      <c r="C37" s="6"/>
      <c r="D37" s="7"/>
      <c r="E37" s="11"/>
      <c r="F37" s="6"/>
      <c r="G37" s="12"/>
      <c r="H37" s="13"/>
      <c r="I37" s="13"/>
      <c r="J37" s="13"/>
    </row>
    <row r="38" spans="1:10" ht="24.6" x14ac:dyDescent="0.4">
      <c r="A38" s="10"/>
      <c r="B38" s="6"/>
      <c r="C38" s="6"/>
      <c r="D38" s="7"/>
      <c r="E38" s="11"/>
      <c r="F38" s="6"/>
      <c r="G38" s="12"/>
      <c r="H38" s="13"/>
      <c r="I38" s="13"/>
      <c r="J38" s="13"/>
    </row>
    <row r="39" spans="1:10" ht="24.6" x14ac:dyDescent="0.4">
      <c r="A39" s="10"/>
      <c r="B39" s="6"/>
      <c r="C39" s="6"/>
      <c r="D39" s="7"/>
      <c r="E39" s="11"/>
      <c r="F39" s="6"/>
      <c r="G39" s="12"/>
      <c r="H39" s="13"/>
      <c r="I39" s="13"/>
      <c r="J39" s="13"/>
    </row>
    <row r="40" spans="1:10" ht="24.6" x14ac:dyDescent="0.4">
      <c r="A40" s="10"/>
      <c r="B40" s="6"/>
      <c r="C40" s="6"/>
      <c r="D40" s="7"/>
      <c r="E40" s="11"/>
      <c r="F40" s="6"/>
      <c r="G40" s="12"/>
      <c r="H40" s="13"/>
      <c r="I40" s="13"/>
      <c r="J40" s="13"/>
    </row>
    <row r="41" spans="1:10" ht="24.6" x14ac:dyDescent="0.4">
      <c r="A41" s="10"/>
      <c r="B41" s="6"/>
      <c r="C41" s="6"/>
      <c r="D41" s="7"/>
      <c r="E41" s="11"/>
      <c r="F41" s="6"/>
      <c r="G41" s="12"/>
      <c r="H41" s="13"/>
      <c r="I41" s="13"/>
      <c r="J41" s="13"/>
    </row>
    <row r="42" spans="1:10" ht="24.6" x14ac:dyDescent="0.4">
      <c r="A42" s="10"/>
      <c r="B42" s="6"/>
      <c r="C42" s="6"/>
      <c r="D42" s="7"/>
      <c r="E42" s="11"/>
      <c r="F42" s="6"/>
      <c r="G42" s="12"/>
      <c r="H42" s="13"/>
      <c r="I42" s="13"/>
      <c r="J42" s="13"/>
    </row>
    <row r="43" spans="1:10" ht="24.6" x14ac:dyDescent="0.4">
      <c r="A43" s="10"/>
      <c r="B43" s="6"/>
      <c r="C43" s="6"/>
      <c r="D43" s="7"/>
      <c r="E43" s="11"/>
      <c r="F43" s="6"/>
      <c r="G43" s="12"/>
      <c r="H43" s="13"/>
      <c r="I43" s="13"/>
      <c r="J43" s="13"/>
    </row>
    <row r="44" spans="1:10" ht="24.6" x14ac:dyDescent="0.4">
      <c r="A44" s="10"/>
      <c r="B44" s="6"/>
      <c r="C44" s="6"/>
      <c r="D44" s="7"/>
      <c r="E44" s="11"/>
      <c r="F44" s="6"/>
      <c r="G44" s="12"/>
      <c r="H44" s="13"/>
      <c r="I44" s="13"/>
      <c r="J44" s="13"/>
    </row>
    <row r="45" spans="1:10" ht="24.6" x14ac:dyDescent="0.4">
      <c r="A45" s="10"/>
      <c r="B45" s="6"/>
      <c r="C45" s="6"/>
      <c r="D45" s="7"/>
      <c r="E45" s="11"/>
      <c r="F45" s="6"/>
      <c r="G45" s="12"/>
      <c r="H45" s="13"/>
      <c r="I45" s="13"/>
      <c r="J45" s="13"/>
    </row>
    <row r="46" spans="1:10" ht="24.6" x14ac:dyDescent="0.4">
      <c r="A46" s="10"/>
      <c r="B46" s="6"/>
      <c r="C46" s="6"/>
      <c r="D46" s="7"/>
      <c r="E46" s="15"/>
      <c r="F46" s="6"/>
      <c r="G46" s="12"/>
      <c r="H46" s="13"/>
      <c r="I46" s="13"/>
      <c r="J46" s="13"/>
    </row>
    <row r="47" spans="1:10" ht="24.6" x14ac:dyDescent="0.4">
      <c r="A47" s="10"/>
      <c r="B47" s="6"/>
      <c r="C47" s="6"/>
      <c r="D47" s="7"/>
      <c r="E47" s="11"/>
      <c r="F47" s="6"/>
      <c r="G47" s="12"/>
      <c r="H47" s="13"/>
      <c r="I47" s="13"/>
      <c r="J47" s="13"/>
    </row>
    <row r="48" spans="1:10" ht="24.6" x14ac:dyDescent="0.4">
      <c r="A48" s="10"/>
      <c r="B48" s="6"/>
      <c r="C48" s="6"/>
      <c r="D48" s="7"/>
      <c r="E48" s="11"/>
      <c r="F48" s="6"/>
      <c r="G48" s="12"/>
      <c r="H48" s="13"/>
      <c r="I48" s="13"/>
      <c r="J48" s="13"/>
    </row>
    <row r="49" spans="1:10" ht="24.6" x14ac:dyDescent="0.4">
      <c r="A49" s="10"/>
      <c r="B49" s="6"/>
      <c r="C49" s="6"/>
      <c r="D49" s="7"/>
      <c r="E49" s="11"/>
      <c r="F49" s="6"/>
      <c r="G49" s="12"/>
      <c r="H49" s="13"/>
      <c r="I49" s="13"/>
      <c r="J49" s="13"/>
    </row>
    <row r="50" spans="1:10" ht="24.6" x14ac:dyDescent="0.4">
      <c r="A50" s="10"/>
      <c r="B50" s="6"/>
      <c r="C50" s="6"/>
      <c r="D50" s="7"/>
      <c r="E50" s="11"/>
      <c r="F50" s="6"/>
      <c r="G50" s="12"/>
      <c r="H50" s="13"/>
      <c r="I50" s="13"/>
      <c r="J50" s="13"/>
    </row>
    <row r="51" spans="1:10" ht="24.6" x14ac:dyDescent="0.4">
      <c r="A51" s="10"/>
      <c r="B51" s="6"/>
      <c r="C51" s="6"/>
      <c r="D51" s="7"/>
      <c r="E51" s="11"/>
      <c r="F51" s="6"/>
      <c r="G51" s="12"/>
      <c r="H51" s="13"/>
      <c r="I51" s="13"/>
      <c r="J51" s="13"/>
    </row>
    <row r="52" spans="1:10" ht="24.6" x14ac:dyDescent="0.4">
      <c r="A52" s="10"/>
      <c r="B52" s="6"/>
      <c r="C52" s="6"/>
      <c r="D52" s="7"/>
      <c r="E52" s="11"/>
      <c r="F52" s="6"/>
      <c r="G52" s="12"/>
      <c r="H52" s="13"/>
      <c r="I52" s="13"/>
      <c r="J52" s="13"/>
    </row>
    <row r="53" spans="1:10" ht="24.6" x14ac:dyDescent="0.4">
      <c r="A53" s="10"/>
      <c r="B53" s="6"/>
      <c r="C53" s="6"/>
      <c r="D53" s="7"/>
      <c r="E53" s="11"/>
      <c r="F53" s="6"/>
      <c r="G53" s="12"/>
      <c r="H53" s="13"/>
      <c r="I53" s="13"/>
      <c r="J53" s="13"/>
    </row>
    <row r="54" spans="1:10" ht="24.6" x14ac:dyDescent="0.4">
      <c r="A54" s="10"/>
      <c r="B54" s="6"/>
      <c r="C54" s="6"/>
      <c r="D54" s="7"/>
      <c r="E54" s="11"/>
      <c r="F54" s="6"/>
      <c r="G54" s="12"/>
      <c r="H54" s="13"/>
      <c r="I54" s="13"/>
      <c r="J54" s="13"/>
    </row>
    <row r="55" spans="1:10" ht="24.6" x14ac:dyDescent="0.4">
      <c r="A55" s="10"/>
      <c r="B55" s="6"/>
      <c r="C55" s="6"/>
      <c r="D55" s="7"/>
      <c r="E55" s="11"/>
      <c r="F55" s="6"/>
      <c r="G55" s="12"/>
      <c r="H55" s="13"/>
      <c r="I55" s="13"/>
      <c r="J55" s="13"/>
    </row>
    <row r="56" spans="1:10" ht="24.6" x14ac:dyDescent="0.4">
      <c r="A56" s="10"/>
      <c r="B56" s="6"/>
      <c r="C56" s="6"/>
      <c r="D56" s="7"/>
      <c r="E56" s="11"/>
      <c r="F56" s="6"/>
      <c r="G56" s="12"/>
      <c r="H56" s="13"/>
      <c r="I56" s="13"/>
      <c r="J56" s="13"/>
    </row>
    <row r="57" spans="1:10" ht="24.6" x14ac:dyDescent="0.4">
      <c r="A57" s="10"/>
      <c r="B57" s="6"/>
      <c r="C57" s="6"/>
      <c r="D57" s="7"/>
      <c r="E57" s="11"/>
      <c r="F57" s="6"/>
      <c r="G57" s="12"/>
      <c r="H57" s="13"/>
      <c r="I57" s="13"/>
      <c r="J57" s="13"/>
    </row>
    <row r="58" spans="1:10" ht="24.6" x14ac:dyDescent="0.4">
      <c r="A58" s="10"/>
      <c r="B58" s="6"/>
      <c r="C58" s="6"/>
      <c r="D58" s="7"/>
      <c r="E58" s="11"/>
      <c r="F58" s="6"/>
      <c r="G58" s="12"/>
      <c r="H58" s="13"/>
      <c r="I58" s="13"/>
      <c r="J58" s="13"/>
    </row>
    <row r="59" spans="1:10" ht="24.6" x14ac:dyDescent="0.4">
      <c r="A59" s="10"/>
      <c r="B59" s="6"/>
      <c r="C59" s="6"/>
      <c r="D59" s="7"/>
      <c r="E59" s="11"/>
      <c r="F59" s="6"/>
      <c r="G59" s="12"/>
      <c r="H59" s="13"/>
      <c r="I59" s="13"/>
      <c r="J59" s="13"/>
    </row>
    <row r="60" spans="1:10" ht="24.6" x14ac:dyDescent="0.4">
      <c r="A60" s="10"/>
      <c r="B60" s="6"/>
      <c r="C60" s="6"/>
      <c r="D60" s="7"/>
      <c r="E60" s="11"/>
      <c r="F60" s="6"/>
      <c r="G60" s="12"/>
      <c r="H60" s="13"/>
      <c r="I60" s="13"/>
      <c r="J60" s="13"/>
    </row>
    <row r="61" spans="1:10" ht="24.6" x14ac:dyDescent="0.4">
      <c r="A61" s="10"/>
      <c r="B61" s="6"/>
      <c r="C61" s="6"/>
      <c r="D61" s="7"/>
      <c r="E61" s="11"/>
      <c r="F61" s="6"/>
      <c r="G61" s="12"/>
      <c r="H61" s="13"/>
      <c r="I61" s="13"/>
      <c r="J61" s="13"/>
    </row>
    <row r="62" spans="1:10" ht="24.6" x14ac:dyDescent="0.4">
      <c r="A62" s="10"/>
      <c r="B62" s="6"/>
      <c r="C62" s="6"/>
      <c r="D62" s="7"/>
      <c r="E62" s="11"/>
      <c r="F62" s="6"/>
      <c r="G62" s="12"/>
      <c r="H62" s="13"/>
      <c r="I62" s="13"/>
      <c r="J62" s="13"/>
    </row>
    <row r="63" spans="1:10" ht="24.6" x14ac:dyDescent="0.4">
      <c r="A63" s="10"/>
      <c r="B63" s="6"/>
      <c r="C63" s="6"/>
      <c r="D63" s="7"/>
      <c r="E63" s="11"/>
      <c r="F63" s="6"/>
      <c r="G63" s="12"/>
      <c r="H63" s="13"/>
      <c r="I63" s="13"/>
      <c r="J63" s="13"/>
    </row>
    <row r="64" spans="1:10" ht="24.6" x14ac:dyDescent="0.4">
      <c r="A64" s="10"/>
      <c r="B64" s="6"/>
      <c r="C64" s="6"/>
      <c r="D64" s="7"/>
      <c r="E64" s="11"/>
      <c r="F64" s="6"/>
      <c r="G64" s="12"/>
      <c r="H64" s="13"/>
      <c r="I64" s="13"/>
      <c r="J64" s="13"/>
    </row>
    <row r="65" spans="1:10" ht="24.6" x14ac:dyDescent="0.4">
      <c r="A65" s="10"/>
      <c r="B65" s="6"/>
      <c r="C65" s="6"/>
      <c r="D65" s="7"/>
      <c r="E65" s="11"/>
      <c r="F65" s="6"/>
      <c r="G65" s="12"/>
      <c r="H65" s="13"/>
      <c r="I65" s="13"/>
      <c r="J65" s="13"/>
    </row>
    <row r="66" spans="1:10" ht="24.6" x14ac:dyDescent="0.4">
      <c r="A66" s="10"/>
      <c r="B66" s="6"/>
      <c r="C66" s="6"/>
      <c r="D66" s="7"/>
      <c r="E66" s="11"/>
      <c r="F66" s="6"/>
      <c r="G66" s="12"/>
      <c r="H66" s="13"/>
      <c r="I66" s="13"/>
      <c r="J66" s="13"/>
    </row>
    <row r="67" spans="1:10" ht="24.6" x14ac:dyDescent="0.4">
      <c r="A67" s="10"/>
      <c r="B67" s="6"/>
      <c r="C67" s="6"/>
      <c r="D67" s="7"/>
      <c r="E67" s="11"/>
      <c r="F67" s="6"/>
      <c r="G67" s="12"/>
      <c r="H67" s="13"/>
      <c r="I67" s="13"/>
      <c r="J67" s="13"/>
    </row>
    <row r="68" spans="1:10" ht="24.6" x14ac:dyDescent="0.4">
      <c r="A68" s="10"/>
      <c r="B68" s="6"/>
      <c r="C68" s="6"/>
      <c r="D68" s="7"/>
      <c r="E68" s="11"/>
      <c r="F68" s="6"/>
      <c r="G68" s="12"/>
      <c r="H68" s="13"/>
      <c r="I68" s="13"/>
      <c r="J68" s="13"/>
    </row>
    <row r="69" spans="1:10" ht="24.6" x14ac:dyDescent="0.4">
      <c r="A69" s="10"/>
      <c r="B69" s="6"/>
      <c r="C69" s="6"/>
      <c r="D69" s="7"/>
      <c r="E69" s="11"/>
      <c r="F69" s="6"/>
      <c r="G69" s="12"/>
      <c r="H69" s="13"/>
      <c r="I69" s="13"/>
      <c r="J69" s="13"/>
    </row>
    <row r="70" spans="1:10" ht="24.6" x14ac:dyDescent="0.4">
      <c r="A70" s="10"/>
      <c r="B70" s="6"/>
      <c r="C70" s="6"/>
      <c r="D70" s="7"/>
      <c r="E70" s="11"/>
      <c r="F70" s="6"/>
      <c r="G70" s="12"/>
      <c r="H70" s="13"/>
      <c r="I70" s="13"/>
      <c r="J70" s="13"/>
    </row>
    <row r="71" spans="1:10" ht="24.6" x14ac:dyDescent="0.4">
      <c r="A71" s="10"/>
      <c r="B71" s="6"/>
      <c r="C71" s="6"/>
      <c r="D71" s="7"/>
      <c r="E71" s="11"/>
      <c r="F71" s="6"/>
      <c r="G71" s="12"/>
      <c r="H71" s="13"/>
      <c r="I71" s="13"/>
      <c r="J71" s="13"/>
    </row>
    <row r="72" spans="1:10" ht="24.6" x14ac:dyDescent="0.4">
      <c r="A72" s="10"/>
      <c r="B72" s="6"/>
      <c r="C72" s="6"/>
      <c r="D72" s="7"/>
      <c r="E72" s="11"/>
      <c r="F72" s="6"/>
      <c r="G72" s="12"/>
      <c r="H72" s="13"/>
      <c r="I72" s="13"/>
      <c r="J72" s="13"/>
    </row>
    <row r="73" spans="1:10" ht="24.6" x14ac:dyDescent="0.4">
      <c r="A73" s="10"/>
      <c r="B73" s="6"/>
      <c r="C73" s="6"/>
      <c r="D73" s="7"/>
      <c r="E73" s="11"/>
      <c r="F73" s="6"/>
      <c r="G73" s="12"/>
      <c r="H73" s="13"/>
      <c r="I73" s="13"/>
      <c r="J73" s="13"/>
    </row>
    <row r="74" spans="1:10" ht="24.6" x14ac:dyDescent="0.4">
      <c r="A74" s="10"/>
      <c r="B74" s="6"/>
      <c r="C74" s="6"/>
      <c r="D74" s="7"/>
      <c r="E74" s="11"/>
      <c r="F74" s="6"/>
      <c r="G74" s="12"/>
      <c r="H74" s="13"/>
      <c r="I74" s="13"/>
      <c r="J74" s="13"/>
    </row>
    <row r="75" spans="1:10" ht="24.6" x14ac:dyDescent="0.4">
      <c r="A75" s="10"/>
      <c r="B75" s="6"/>
      <c r="C75" s="6"/>
      <c r="D75" s="7"/>
      <c r="E75" s="11"/>
      <c r="F75" s="6"/>
      <c r="G75" s="12"/>
      <c r="H75" s="13"/>
      <c r="I75" s="13"/>
      <c r="J75" s="13"/>
    </row>
    <row r="76" spans="1:10" ht="24.6" x14ac:dyDescent="0.4">
      <c r="A76" s="10"/>
      <c r="B76" s="6"/>
      <c r="C76" s="6"/>
      <c r="D76" s="7"/>
      <c r="E76" s="11"/>
      <c r="F76" s="6"/>
      <c r="G76" s="12"/>
      <c r="H76" s="13"/>
      <c r="I76" s="13"/>
      <c r="J76" s="13"/>
    </row>
    <row r="77" spans="1:10" ht="24.6" x14ac:dyDescent="0.4">
      <c r="A77" s="10"/>
      <c r="B77" s="6"/>
      <c r="C77" s="6"/>
      <c r="D77" s="7"/>
      <c r="E77" s="11"/>
      <c r="F77" s="6"/>
      <c r="G77" s="12"/>
      <c r="H77" s="13"/>
      <c r="I77" s="13"/>
      <c r="J77" s="13"/>
    </row>
    <row r="78" spans="1:10" ht="24.6" x14ac:dyDescent="0.4">
      <c r="A78" s="10"/>
      <c r="B78" s="6"/>
      <c r="C78" s="6"/>
      <c r="D78" s="7"/>
      <c r="E78" s="11"/>
      <c r="F78" s="6"/>
      <c r="G78" s="12"/>
      <c r="H78" s="13"/>
      <c r="I78" s="13"/>
      <c r="J78" s="13"/>
    </row>
    <row r="79" spans="1:10" ht="24.6" x14ac:dyDescent="0.4">
      <c r="A79" s="10"/>
      <c r="B79" s="6"/>
      <c r="C79" s="6"/>
      <c r="D79" s="7"/>
      <c r="E79" s="11"/>
      <c r="F79" s="6"/>
      <c r="G79" s="12"/>
      <c r="H79" s="13"/>
      <c r="I79" s="13"/>
      <c r="J79" s="13"/>
    </row>
    <row r="80" spans="1:10" ht="24.6" x14ac:dyDescent="0.4">
      <c r="A80" s="10"/>
      <c r="B80" s="6"/>
      <c r="C80" s="6"/>
      <c r="D80" s="7"/>
      <c r="E80" s="11"/>
      <c r="F80" s="6"/>
      <c r="G80" s="12"/>
      <c r="H80" s="13"/>
      <c r="I80" s="13"/>
      <c r="J80" s="13"/>
    </row>
    <row r="81" spans="1:10" ht="24.6" x14ac:dyDescent="0.4">
      <c r="A81" s="10"/>
      <c r="B81" s="6"/>
      <c r="C81" s="6"/>
      <c r="D81" s="7"/>
      <c r="E81" s="11"/>
      <c r="F81" s="6"/>
      <c r="G81" s="12"/>
      <c r="H81" s="13"/>
      <c r="I81" s="13"/>
      <c r="J81" s="13"/>
    </row>
    <row r="82" spans="1:10" ht="24.6" x14ac:dyDescent="0.4">
      <c r="A82" s="10"/>
      <c r="B82" s="6"/>
      <c r="C82" s="6"/>
      <c r="D82" s="7"/>
      <c r="E82" s="11"/>
      <c r="F82" s="6"/>
      <c r="G82" s="12"/>
      <c r="H82" s="13"/>
      <c r="I82" s="13"/>
      <c r="J82" s="13"/>
    </row>
    <row r="83" spans="1:10" ht="24.6" x14ac:dyDescent="0.4">
      <c r="A83" s="10"/>
      <c r="B83" s="6"/>
      <c r="C83" s="6"/>
      <c r="D83" s="7"/>
      <c r="E83" s="11"/>
      <c r="F83" s="6"/>
      <c r="G83" s="12"/>
      <c r="H83" s="13"/>
      <c r="I83" s="13"/>
      <c r="J83" s="13"/>
    </row>
    <row r="84" spans="1:10" ht="24.6" x14ac:dyDescent="0.4">
      <c r="A84" s="10"/>
      <c r="B84" s="6"/>
      <c r="C84" s="6"/>
      <c r="D84" s="7"/>
      <c r="E84" s="11"/>
      <c r="F84" s="6"/>
      <c r="G84" s="12"/>
      <c r="H84" s="13"/>
      <c r="I84" s="13"/>
      <c r="J84" s="13"/>
    </row>
    <row r="85" spans="1:10" ht="24.6" x14ac:dyDescent="0.4">
      <c r="A85" s="10"/>
      <c r="B85" s="6"/>
      <c r="C85" s="6"/>
      <c r="D85" s="7"/>
      <c r="E85" s="11"/>
      <c r="F85" s="6"/>
      <c r="G85" s="12"/>
      <c r="H85" s="13"/>
      <c r="I85" s="13"/>
      <c r="J85" s="13"/>
    </row>
    <row r="86" spans="1:10" ht="24.6" x14ac:dyDescent="0.4">
      <c r="A86" s="10"/>
      <c r="B86" s="6"/>
      <c r="C86" s="6"/>
      <c r="D86" s="7"/>
      <c r="E86" s="11"/>
      <c r="F86" s="6"/>
      <c r="G86" s="12"/>
      <c r="H86" s="13"/>
      <c r="I86" s="13"/>
      <c r="J86" s="13"/>
    </row>
    <row r="87" spans="1:10" ht="24.6" x14ac:dyDescent="0.4">
      <c r="A87" s="10"/>
      <c r="B87" s="6"/>
      <c r="C87" s="14"/>
      <c r="D87" s="7"/>
      <c r="E87" s="11"/>
      <c r="F87" s="6"/>
      <c r="G87" s="12"/>
      <c r="H87" s="13"/>
      <c r="I87" s="13"/>
      <c r="J87" s="13"/>
    </row>
    <row r="88" spans="1:10" ht="24.6" x14ac:dyDescent="0.4">
      <c r="A88" s="10"/>
      <c r="B88" s="6"/>
      <c r="C88" s="6"/>
      <c r="D88" s="7"/>
      <c r="E88" s="11"/>
      <c r="F88" s="6"/>
      <c r="G88" s="12"/>
      <c r="H88" s="13"/>
      <c r="I88" s="13"/>
      <c r="J88" s="13"/>
    </row>
    <row r="89" spans="1:10" ht="24.6" x14ac:dyDescent="0.4">
      <c r="A89" s="10"/>
      <c r="B89" s="6"/>
      <c r="C89" s="6"/>
      <c r="D89" s="7"/>
      <c r="E89" s="11"/>
      <c r="F89" s="6"/>
      <c r="G89" s="12"/>
      <c r="H89" s="13"/>
      <c r="I89" s="13"/>
      <c r="J89" s="13"/>
    </row>
    <row r="90" spans="1:10" ht="24.6" x14ac:dyDescent="0.4">
      <c r="A90" s="10"/>
      <c r="B90" s="6"/>
      <c r="C90" s="6"/>
      <c r="D90" s="7"/>
      <c r="E90" s="11"/>
      <c r="F90" s="6"/>
      <c r="G90" s="12"/>
      <c r="H90" s="13"/>
      <c r="I90" s="13"/>
      <c r="J90" s="13"/>
    </row>
    <row r="91" spans="1:10" ht="24.6" x14ac:dyDescent="0.4">
      <c r="A91" s="10"/>
      <c r="B91" s="6"/>
      <c r="C91" s="6"/>
      <c r="D91" s="7"/>
      <c r="E91" s="11"/>
      <c r="F91" s="6"/>
      <c r="G91" s="12"/>
      <c r="H91" s="13"/>
      <c r="I91" s="13"/>
      <c r="J91" s="13"/>
    </row>
    <row r="92" spans="1:10" ht="24.6" x14ac:dyDescent="0.4">
      <c r="A92" s="10"/>
      <c r="B92" s="6"/>
      <c r="C92" s="6"/>
      <c r="D92" s="7"/>
      <c r="E92" s="11"/>
      <c r="F92" s="6"/>
      <c r="G92" s="12"/>
      <c r="H92" s="13"/>
      <c r="I92" s="13"/>
      <c r="J92" s="13"/>
    </row>
    <row r="93" spans="1:10" ht="24.6" x14ac:dyDescent="0.4">
      <c r="A93" s="10"/>
      <c r="B93" s="6"/>
      <c r="C93" s="6"/>
      <c r="D93" s="7"/>
      <c r="E93" s="11"/>
      <c r="F93" s="6"/>
      <c r="G93" s="12"/>
      <c r="H93" s="13"/>
      <c r="I93" s="13"/>
      <c r="J93" s="13"/>
    </row>
    <row r="94" spans="1:10" ht="24.6" x14ac:dyDescent="0.4">
      <c r="A94" s="10"/>
      <c r="B94" s="6"/>
      <c r="C94" s="6"/>
      <c r="D94" s="7"/>
      <c r="E94" s="11"/>
      <c r="F94" s="6"/>
      <c r="G94" s="12"/>
      <c r="H94" s="13"/>
      <c r="I94" s="13"/>
      <c r="J94" s="13"/>
    </row>
    <row r="95" spans="1:10" ht="24.6" x14ac:dyDescent="0.4">
      <c r="A95" s="10"/>
      <c r="B95" s="6"/>
      <c r="C95" s="6"/>
      <c r="D95" s="7"/>
      <c r="E95" s="11"/>
      <c r="F95" s="6"/>
      <c r="G95" s="12"/>
      <c r="H95" s="13"/>
      <c r="I95" s="13"/>
      <c r="J95" s="13"/>
    </row>
    <row r="96" spans="1:10" ht="24.6" x14ac:dyDescent="0.4">
      <c r="A96" s="10"/>
      <c r="B96" s="6"/>
      <c r="C96" s="6"/>
      <c r="D96" s="7"/>
      <c r="E96" s="11"/>
      <c r="F96" s="6"/>
      <c r="G96" s="12"/>
      <c r="H96" s="13"/>
      <c r="I96" s="13"/>
      <c r="J96" s="13"/>
    </row>
    <row r="97" spans="1:10" ht="24.6" x14ac:dyDescent="0.4">
      <c r="A97" s="10"/>
      <c r="B97" s="6"/>
      <c r="C97" s="6"/>
      <c r="D97" s="7"/>
      <c r="E97" s="11"/>
      <c r="F97" s="6"/>
      <c r="G97" s="12"/>
      <c r="H97" s="13"/>
      <c r="I97" s="13"/>
      <c r="J97" s="13"/>
    </row>
    <row r="98" spans="1:10" ht="24.6" x14ac:dyDescent="0.4">
      <c r="A98" s="10"/>
      <c r="B98" s="6"/>
      <c r="C98" s="6"/>
      <c r="D98" s="7"/>
      <c r="E98" s="11"/>
      <c r="F98" s="6"/>
      <c r="G98" s="12"/>
      <c r="H98" s="13"/>
      <c r="I98" s="13"/>
      <c r="J98" s="13"/>
    </row>
    <row r="99" spans="1:10" ht="24.6" x14ac:dyDescent="0.4">
      <c r="A99" s="10"/>
      <c r="B99" s="6"/>
      <c r="C99" s="6"/>
      <c r="D99" s="7"/>
      <c r="E99" s="11"/>
      <c r="F99" s="6"/>
      <c r="G99" s="12"/>
      <c r="H99" s="13"/>
      <c r="I99" s="13"/>
      <c r="J99" s="13"/>
    </row>
    <row r="100" spans="1:10" ht="24.6" x14ac:dyDescent="0.4">
      <c r="A100" s="10"/>
      <c r="B100" s="6"/>
      <c r="C100" s="6"/>
      <c r="D100" s="7"/>
      <c r="E100" s="11"/>
      <c r="F100" s="6"/>
      <c r="G100" s="12"/>
      <c r="H100" s="13"/>
      <c r="I100" s="13"/>
      <c r="J100" s="13"/>
    </row>
    <row r="101" spans="1:10" ht="24.6" x14ac:dyDescent="0.4">
      <c r="A101" s="10"/>
      <c r="B101" s="6"/>
      <c r="C101" s="6"/>
      <c r="D101" s="7"/>
      <c r="E101" s="11"/>
      <c r="F101" s="6"/>
      <c r="G101" s="12"/>
      <c r="H101" s="13"/>
      <c r="I101" s="13"/>
      <c r="J101" s="13"/>
    </row>
    <row r="102" spans="1:10" ht="24.6" x14ac:dyDescent="0.4">
      <c r="A102" s="10"/>
      <c r="F102" s="6"/>
      <c r="G102" s="12"/>
      <c r="H102" s="13"/>
      <c r="I102" s="13"/>
      <c r="J102" s="13"/>
    </row>
    <row r="103" spans="1:10" ht="24.6" x14ac:dyDescent="0.4">
      <c r="A103" s="10"/>
      <c r="F103" s="6"/>
      <c r="G103" s="12"/>
      <c r="H103" s="13"/>
      <c r="I103" s="13"/>
      <c r="J103" s="13"/>
    </row>
    <row r="104" spans="1:10" ht="24.6" x14ac:dyDescent="0.4">
      <c r="A104" s="10"/>
      <c r="F104" s="6"/>
      <c r="G104" s="12"/>
      <c r="H104" s="13"/>
      <c r="I104" s="13"/>
      <c r="J104" s="13"/>
    </row>
    <row r="105" spans="1:10" ht="24.6" x14ac:dyDescent="0.4">
      <c r="A105" s="10"/>
      <c r="F105" s="6"/>
      <c r="G105" s="12"/>
      <c r="H105" s="13"/>
      <c r="I105" s="13"/>
      <c r="J105" s="13"/>
    </row>
    <row r="106" spans="1:10" ht="24.6" x14ac:dyDescent="0.4">
      <c r="A106" s="10"/>
      <c r="F106" s="6"/>
      <c r="G106" s="12"/>
      <c r="H106" s="13"/>
      <c r="I106" s="13"/>
      <c r="J106" s="13"/>
    </row>
    <row r="107" spans="1:10" ht="24.6" x14ac:dyDescent="0.4">
      <c r="A107" s="10"/>
      <c r="F107" s="6"/>
      <c r="G107" s="12"/>
      <c r="H107" s="13"/>
      <c r="I107" s="13"/>
      <c r="J107" s="13"/>
    </row>
    <row r="108" spans="1:10" ht="24.6" x14ac:dyDescent="0.4">
      <c r="A108" s="10"/>
      <c r="F108" s="6"/>
      <c r="G108" s="12"/>
      <c r="H108" s="13"/>
      <c r="I108" s="13"/>
      <c r="J108" s="13"/>
    </row>
    <row r="109" spans="1:10" ht="24.6" x14ac:dyDescent="0.4">
      <c r="A109" s="10"/>
      <c r="F109" s="6"/>
      <c r="G109" s="12"/>
      <c r="H109" s="13"/>
      <c r="I109" s="13"/>
      <c r="J109" s="13"/>
    </row>
    <row r="110" spans="1:10" ht="24.6" x14ac:dyDescent="0.4">
      <c r="A110" s="10"/>
      <c r="F110" s="6"/>
      <c r="G110" s="12"/>
      <c r="H110" s="13"/>
      <c r="I110" s="13"/>
      <c r="J110" s="13"/>
    </row>
    <row r="111" spans="1:10" ht="24.6" x14ac:dyDescent="0.4">
      <c r="A111" s="10"/>
      <c r="F111" s="6"/>
      <c r="G111" s="12"/>
      <c r="H111" s="13"/>
      <c r="I111" s="13"/>
      <c r="J111" s="13"/>
    </row>
    <row r="112" spans="1:10" ht="24.6" x14ac:dyDescent="0.4">
      <c r="A112" s="10"/>
      <c r="F112" s="6"/>
      <c r="G112" s="12"/>
      <c r="H112" s="13"/>
      <c r="I112" s="13"/>
      <c r="J112" s="13"/>
    </row>
    <row r="113" spans="1:10" ht="24.6" x14ac:dyDescent="0.4">
      <c r="A113" s="10"/>
      <c r="F113" s="6"/>
      <c r="G113" s="12"/>
      <c r="H113" s="13"/>
      <c r="I113" s="13"/>
      <c r="J113" s="13"/>
    </row>
    <row r="114" spans="1:10" ht="24.6" x14ac:dyDescent="0.4">
      <c r="A114" s="10"/>
      <c r="F114" s="6"/>
      <c r="G114" s="12"/>
      <c r="H114" s="13"/>
      <c r="I114" s="13"/>
      <c r="J114" s="13"/>
    </row>
    <row r="115" spans="1:10" ht="24.6" x14ac:dyDescent="0.4">
      <c r="A115" s="10"/>
      <c r="F115" s="6"/>
      <c r="G115" s="12"/>
      <c r="H115" s="13"/>
      <c r="I115" s="13"/>
      <c r="J115" s="13"/>
    </row>
    <row r="116" spans="1:10" ht="24.6" x14ac:dyDescent="0.4">
      <c r="A116" s="10"/>
      <c r="F116" s="6"/>
      <c r="G116" s="12"/>
      <c r="H116" s="13"/>
      <c r="I116" s="13"/>
      <c r="J116" s="13"/>
    </row>
    <row r="117" spans="1:10" ht="24.6" x14ac:dyDescent="0.4">
      <c r="A117" s="10"/>
      <c r="F117" s="6"/>
      <c r="G117" s="12"/>
      <c r="H117" s="13"/>
      <c r="I117" s="13"/>
      <c r="J117" s="13"/>
    </row>
    <row r="118" spans="1:10" ht="24.6" x14ac:dyDescent="0.4">
      <c r="A118" s="10"/>
      <c r="F118" s="6"/>
      <c r="G118" s="12"/>
      <c r="H118" s="13"/>
      <c r="I118" s="13"/>
      <c r="J118" s="13"/>
    </row>
    <row r="119" spans="1:10" ht="24.6" x14ac:dyDescent="0.4">
      <c r="A119" s="10"/>
      <c r="F119" s="6"/>
      <c r="G119" s="12"/>
      <c r="H119" s="13"/>
      <c r="I119" s="13"/>
      <c r="J119" s="13"/>
    </row>
    <row r="120" spans="1:10" ht="24.6" x14ac:dyDescent="0.4">
      <c r="A120" s="10"/>
      <c r="F120" s="6"/>
      <c r="G120" s="12"/>
      <c r="H120" s="13"/>
      <c r="I120" s="13"/>
      <c r="J120" s="13"/>
    </row>
    <row r="121" spans="1:10" ht="24.6" x14ac:dyDescent="0.4">
      <c r="A121" s="10"/>
      <c r="F121" s="6"/>
      <c r="G121" s="12"/>
      <c r="H121" s="13"/>
      <c r="I121" s="13"/>
      <c r="J121" s="13"/>
    </row>
    <row r="122" spans="1:10" ht="24.6" x14ac:dyDescent="0.4">
      <c r="A122" s="10"/>
      <c r="F122" s="6"/>
      <c r="G122" s="12"/>
      <c r="H122" s="13"/>
      <c r="I122" s="13"/>
      <c r="J122" s="13"/>
    </row>
    <row r="123" spans="1:10" ht="24.6" x14ac:dyDescent="0.4">
      <c r="A123" s="10"/>
      <c r="F123" s="6"/>
      <c r="G123" s="12"/>
      <c r="H123" s="13"/>
      <c r="I123" s="13"/>
      <c r="J123" s="13"/>
    </row>
    <row r="124" spans="1:10" ht="24.6" x14ac:dyDescent="0.4">
      <c r="A124" s="10"/>
      <c r="F124" s="6"/>
      <c r="G124" s="12"/>
      <c r="H124" s="13"/>
      <c r="I124" s="13"/>
      <c r="J124" s="13"/>
    </row>
    <row r="125" spans="1:10" ht="24.6" x14ac:dyDescent="0.4">
      <c r="A125" s="10"/>
      <c r="F125" s="6"/>
      <c r="G125" s="12"/>
      <c r="H125" s="13"/>
      <c r="I125" s="13"/>
      <c r="J125" s="13"/>
    </row>
    <row r="126" spans="1:10" ht="24.6" x14ac:dyDescent="0.4">
      <c r="A126" s="10"/>
      <c r="F126" s="6"/>
      <c r="G126" s="12"/>
      <c r="H126" s="13"/>
      <c r="I126" s="13"/>
      <c r="J126" s="13"/>
    </row>
    <row r="127" spans="1:10" ht="24.6" x14ac:dyDescent="0.4">
      <c r="A127" s="10"/>
      <c r="F127" s="6"/>
      <c r="G127" s="12"/>
      <c r="H127" s="13"/>
      <c r="I127" s="13"/>
      <c r="J127" s="13"/>
    </row>
    <row r="128" spans="1:10" ht="24.6" x14ac:dyDescent="0.4">
      <c r="A128" s="10"/>
      <c r="F128" s="6"/>
      <c r="G128" s="12"/>
      <c r="H128" s="13"/>
      <c r="I128" s="13"/>
      <c r="J128" s="13"/>
    </row>
    <row r="129" spans="1:10" ht="24.6" x14ac:dyDescent="0.4">
      <c r="A129" s="10"/>
      <c r="F129" s="6"/>
      <c r="G129" s="12"/>
      <c r="H129" s="13"/>
      <c r="I129" s="13"/>
      <c r="J129" s="13"/>
    </row>
    <row r="130" spans="1:10" ht="24.6" x14ac:dyDescent="0.4">
      <c r="A130" s="10"/>
      <c r="F130" s="6"/>
      <c r="G130" s="12"/>
      <c r="H130" s="13"/>
      <c r="I130" s="13"/>
      <c r="J130" s="13"/>
    </row>
    <row r="131" spans="1:10" ht="24.6" x14ac:dyDescent="0.4">
      <c r="A131" s="10"/>
      <c r="F131" s="6"/>
      <c r="G131" s="12"/>
      <c r="H131" s="13"/>
      <c r="I131" s="13"/>
      <c r="J131" s="13"/>
    </row>
    <row r="132" spans="1:10" ht="24.6" x14ac:dyDescent="0.4">
      <c r="A132" s="10"/>
      <c r="F132" s="6"/>
      <c r="G132" s="12"/>
      <c r="H132" s="13"/>
      <c r="I132" s="13"/>
      <c r="J132" s="13"/>
    </row>
    <row r="133" spans="1:10" ht="24.6" x14ac:dyDescent="0.4">
      <c r="A133" s="10"/>
      <c r="F133" s="6"/>
      <c r="G133" s="12"/>
      <c r="H133" s="13"/>
      <c r="I133" s="13"/>
      <c r="J133" s="13"/>
    </row>
    <row r="134" spans="1:10" ht="24.6" x14ac:dyDescent="0.4">
      <c r="A134" s="10"/>
      <c r="F134" s="6"/>
      <c r="G134" s="12"/>
      <c r="H134" s="13"/>
      <c r="I134" s="13"/>
      <c r="J134" s="13"/>
    </row>
    <row r="135" spans="1:10" ht="24.6" x14ac:dyDescent="0.4">
      <c r="A135" s="10"/>
      <c r="F135" s="6"/>
      <c r="G135" s="12"/>
      <c r="H135" s="13"/>
      <c r="I135" s="13"/>
      <c r="J135" s="13"/>
    </row>
    <row r="136" spans="1:10" ht="24.6" x14ac:dyDescent="0.4">
      <c r="A136" s="10"/>
      <c r="F136" s="6"/>
      <c r="G136" s="12"/>
      <c r="H136" s="13"/>
      <c r="I136" s="13"/>
      <c r="J136" s="13"/>
    </row>
    <row r="137" spans="1:10" ht="24.6" x14ac:dyDescent="0.4">
      <c r="A137" s="10"/>
      <c r="F137" s="6"/>
      <c r="G137" s="12"/>
      <c r="H137" s="13"/>
      <c r="I137" s="13"/>
      <c r="J137" s="13"/>
    </row>
    <row r="138" spans="1:10" ht="24.6" x14ac:dyDescent="0.4">
      <c r="A138" s="10"/>
      <c r="F138" s="6"/>
      <c r="G138" s="12"/>
      <c r="H138" s="13"/>
      <c r="I138" s="13"/>
      <c r="J138" s="13"/>
    </row>
    <row r="139" spans="1:10" ht="24.6" x14ac:dyDescent="0.4">
      <c r="A139" s="10"/>
      <c r="F139" s="6"/>
      <c r="G139" s="12"/>
      <c r="H139" s="13"/>
      <c r="I139" s="13"/>
      <c r="J139" s="13"/>
    </row>
    <row r="140" spans="1:10" ht="24.6" x14ac:dyDescent="0.4">
      <c r="A140" s="10"/>
      <c r="F140" s="6"/>
      <c r="G140" s="12"/>
      <c r="H140" s="13"/>
      <c r="I140" s="13"/>
      <c r="J140" s="13"/>
    </row>
    <row r="141" spans="1:10" ht="24.6" x14ac:dyDescent="0.4">
      <c r="A141" s="10"/>
      <c r="F141" s="6"/>
      <c r="G141" s="12"/>
      <c r="H141" s="13"/>
      <c r="I141" s="13"/>
      <c r="J141" s="13"/>
    </row>
    <row r="142" spans="1:10" ht="24.6" x14ac:dyDescent="0.4">
      <c r="A142" s="10"/>
      <c r="F142" s="6"/>
      <c r="G142" s="12"/>
      <c r="H142" s="13"/>
      <c r="I142" s="13"/>
      <c r="J142" s="13"/>
    </row>
    <row r="143" spans="1:10" ht="24.6" x14ac:dyDescent="0.4">
      <c r="A143" s="10"/>
      <c r="F143" s="6"/>
      <c r="G143" s="12"/>
      <c r="H143" s="13"/>
      <c r="I143" s="13"/>
      <c r="J143" s="13"/>
    </row>
    <row r="144" spans="1:10" ht="24.6" x14ac:dyDescent="0.4">
      <c r="A144" s="10"/>
      <c r="F144" s="6"/>
      <c r="G144" s="12"/>
      <c r="H144" s="13"/>
      <c r="I144" s="13"/>
      <c r="J144" s="13"/>
    </row>
    <row r="145" spans="1:10" ht="24.6" x14ac:dyDescent="0.4">
      <c r="A145" s="10"/>
      <c r="F145" s="6"/>
      <c r="G145" s="12"/>
      <c r="H145" s="13"/>
      <c r="I145" s="13"/>
      <c r="J145" s="13"/>
    </row>
    <row r="146" spans="1:10" ht="24.6" x14ac:dyDescent="0.4">
      <c r="A146" s="10"/>
      <c r="F146" s="6"/>
      <c r="G146" s="12"/>
      <c r="H146" s="13"/>
      <c r="I146" s="13"/>
      <c r="J146" s="13"/>
    </row>
    <row r="147" spans="1:10" ht="24.6" x14ac:dyDescent="0.4">
      <c r="A147" s="10"/>
      <c r="F147" s="6"/>
      <c r="G147" s="12"/>
      <c r="H147" s="13"/>
      <c r="I147" s="13"/>
      <c r="J147" s="13"/>
    </row>
    <row r="148" spans="1:10" ht="24.6" x14ac:dyDescent="0.4">
      <c r="A148" s="10"/>
      <c r="F148" s="6"/>
      <c r="G148" s="12"/>
      <c r="H148" s="13"/>
      <c r="I148" s="13"/>
      <c r="J148" s="13"/>
    </row>
    <row r="149" spans="1:10" ht="24.6" x14ac:dyDescent="0.4">
      <c r="A149" s="10"/>
      <c r="F149" s="6"/>
      <c r="G149" s="12"/>
      <c r="H149" s="13"/>
      <c r="I149" s="13"/>
      <c r="J149" s="13"/>
    </row>
    <row r="150" spans="1:10" ht="24.6" x14ac:dyDescent="0.4">
      <c r="A150" s="10"/>
      <c r="F150" s="6"/>
      <c r="G150" s="12"/>
      <c r="H150" s="13"/>
      <c r="I150" s="13"/>
      <c r="J150" s="13"/>
    </row>
    <row r="151" spans="1:10" ht="24.6" hidden="1" x14ac:dyDescent="0.4">
      <c r="A151" s="10"/>
      <c r="F151" s="6"/>
      <c r="G151" s="12"/>
      <c r="H151" s="13"/>
      <c r="I151" s="13"/>
      <c r="J151" s="13"/>
    </row>
    <row r="152" spans="1:10" ht="24.6" hidden="1" x14ac:dyDescent="0.4">
      <c r="A152" s="10"/>
      <c r="F152" s="6"/>
      <c r="G152" s="12"/>
      <c r="H152" s="13"/>
      <c r="I152" s="13"/>
      <c r="J152" s="13"/>
    </row>
    <row r="153" spans="1:10" ht="24.6" hidden="1" x14ac:dyDescent="0.4">
      <c r="A153" s="10"/>
      <c r="F153" s="6"/>
      <c r="G153" s="12"/>
      <c r="H153" s="13"/>
      <c r="I153" s="13"/>
      <c r="J153" s="13"/>
    </row>
    <row r="154" spans="1:10" ht="24.6" hidden="1" x14ac:dyDescent="0.4">
      <c r="A154" s="10"/>
      <c r="F154" s="6"/>
      <c r="G154" s="12"/>
      <c r="H154" s="13"/>
      <c r="I154" s="13"/>
      <c r="J154" s="13"/>
    </row>
    <row r="155" spans="1:10" ht="24.6" hidden="1" x14ac:dyDescent="0.4">
      <c r="A155" s="10"/>
      <c r="F155" s="6"/>
      <c r="G155" s="12"/>
      <c r="H155" s="13"/>
      <c r="I155" s="13"/>
      <c r="J155" s="13"/>
    </row>
    <row r="156" spans="1:10" ht="24.6" hidden="1" x14ac:dyDescent="0.4">
      <c r="A156" s="10"/>
      <c r="F156" s="6"/>
      <c r="G156" s="12"/>
      <c r="H156" s="13"/>
      <c r="I156" s="13"/>
      <c r="J156" s="13"/>
    </row>
    <row r="157" spans="1:10" ht="24.6" hidden="1" x14ac:dyDescent="0.4">
      <c r="A157" s="10"/>
      <c r="F157" s="6"/>
      <c r="G157" s="12"/>
      <c r="H157" s="13"/>
      <c r="I157" s="13"/>
      <c r="J157" s="13"/>
    </row>
    <row r="158" spans="1:10" ht="24.6" hidden="1" x14ac:dyDescent="0.4">
      <c r="A158" s="10"/>
      <c r="F158" s="6"/>
      <c r="G158" s="12"/>
      <c r="H158" s="13"/>
      <c r="I158" s="13"/>
      <c r="J158" s="13"/>
    </row>
    <row r="159" spans="1:10" ht="24.6" hidden="1" x14ac:dyDescent="0.4">
      <c r="A159" s="10"/>
      <c r="F159" s="6"/>
      <c r="G159" s="12"/>
      <c r="H159" s="13"/>
      <c r="I159" s="13"/>
      <c r="J159" s="13"/>
    </row>
    <row r="160" spans="1:10" ht="24.6" hidden="1" x14ac:dyDescent="0.4">
      <c r="A160" s="10"/>
      <c r="F160" s="6"/>
      <c r="G160" s="12"/>
      <c r="H160" s="13"/>
      <c r="I160" s="13"/>
      <c r="J160" s="13"/>
    </row>
    <row r="161" spans="1:10" ht="24.6" hidden="1" x14ac:dyDescent="0.4">
      <c r="A161" s="10"/>
      <c r="F161" s="6"/>
      <c r="G161" s="12"/>
      <c r="H161" s="13"/>
      <c r="I161" s="13"/>
      <c r="J161" s="13"/>
    </row>
    <row r="162" spans="1:10" ht="24.6" hidden="1" x14ac:dyDescent="0.4">
      <c r="A162" s="10"/>
      <c r="F162" s="6"/>
      <c r="G162" s="12"/>
      <c r="H162" s="13"/>
      <c r="I162" s="13"/>
      <c r="J162" s="13"/>
    </row>
    <row r="163" spans="1:10" ht="24.6" hidden="1" x14ac:dyDescent="0.4">
      <c r="A163" s="10"/>
      <c r="F163" s="6"/>
      <c r="G163" s="12"/>
      <c r="H163" s="13"/>
      <c r="I163" s="13"/>
      <c r="J163" s="13"/>
    </row>
    <row r="164" spans="1:10" ht="24.6" hidden="1" x14ac:dyDescent="0.4">
      <c r="A164" s="10"/>
      <c r="F164" s="6"/>
      <c r="G164" s="12"/>
      <c r="H164" s="13"/>
      <c r="I164" s="13"/>
      <c r="J164" s="13"/>
    </row>
    <row r="165" spans="1:10" ht="24.6" hidden="1" x14ac:dyDescent="0.4">
      <c r="A165" s="10"/>
      <c r="F165" s="6"/>
      <c r="G165" s="12"/>
      <c r="H165" s="13"/>
      <c r="I165" s="13"/>
      <c r="J165" s="13"/>
    </row>
    <row r="166" spans="1:10" ht="24.6" hidden="1" x14ac:dyDescent="0.4">
      <c r="A166" s="10"/>
      <c r="F166" s="6"/>
      <c r="G166" s="12"/>
      <c r="H166" s="13"/>
      <c r="I166" s="13"/>
      <c r="J166" s="13"/>
    </row>
    <row r="167" spans="1:10" ht="24.6" hidden="1" x14ac:dyDescent="0.4">
      <c r="A167" s="10"/>
      <c r="F167" s="6"/>
      <c r="G167" s="12"/>
      <c r="H167" s="13"/>
      <c r="I167" s="13"/>
      <c r="J167" s="13"/>
    </row>
    <row r="168" spans="1:10" ht="24.6" hidden="1" x14ac:dyDescent="0.4">
      <c r="A168" s="10"/>
      <c r="F168" s="6"/>
      <c r="G168" s="12"/>
      <c r="H168" s="13"/>
      <c r="I168" s="13"/>
      <c r="J168" s="13"/>
    </row>
    <row r="169" spans="1:10" ht="24.6" hidden="1" x14ac:dyDescent="0.4">
      <c r="A169" s="10"/>
      <c r="F169" s="6"/>
      <c r="G169" s="12"/>
      <c r="H169" s="13"/>
      <c r="I169" s="13"/>
      <c r="J169" s="13"/>
    </row>
    <row r="170" spans="1:10" ht="24.6" hidden="1" x14ac:dyDescent="0.4">
      <c r="A170" s="10"/>
      <c r="F170" s="6"/>
      <c r="G170" s="12"/>
      <c r="H170" s="13"/>
      <c r="I170" s="13"/>
      <c r="J170" s="13"/>
    </row>
    <row r="171" spans="1:10" ht="24.6" hidden="1" x14ac:dyDescent="0.4">
      <c r="A171" s="10"/>
      <c r="F171" s="6"/>
      <c r="G171" s="12"/>
      <c r="H171" s="13"/>
      <c r="I171" s="13"/>
      <c r="J171" s="13"/>
    </row>
    <row r="172" spans="1:10" ht="24.6" hidden="1" x14ac:dyDescent="0.4">
      <c r="A172" s="10"/>
      <c r="F172" s="6"/>
      <c r="G172" s="12"/>
      <c r="H172" s="13"/>
      <c r="I172" s="13"/>
      <c r="J172" s="13"/>
    </row>
    <row r="173" spans="1:10" ht="24.6" hidden="1" x14ac:dyDescent="0.4">
      <c r="A173" s="10"/>
      <c r="F173" s="6"/>
      <c r="G173" s="12"/>
      <c r="H173" s="13"/>
      <c r="I173" s="13"/>
      <c r="J173" s="13"/>
    </row>
    <row r="174" spans="1:10" ht="24.6" hidden="1" x14ac:dyDescent="0.4">
      <c r="A174" s="10"/>
      <c r="F174" s="6"/>
      <c r="G174" s="12"/>
      <c r="H174" s="13"/>
      <c r="I174" s="13"/>
      <c r="J174" s="13"/>
    </row>
    <row r="175" spans="1:10" ht="24.6" hidden="1" x14ac:dyDescent="0.4">
      <c r="A175" s="10"/>
      <c r="F175" s="6"/>
      <c r="G175" s="12"/>
      <c r="H175" s="13"/>
      <c r="I175" s="13"/>
      <c r="J175" s="13"/>
    </row>
    <row r="176" spans="1:10" ht="24.6" hidden="1" x14ac:dyDescent="0.4">
      <c r="A176" s="10"/>
      <c r="F176" s="6"/>
      <c r="G176" s="12"/>
      <c r="H176" s="13"/>
      <c r="I176" s="13"/>
      <c r="J176" s="13"/>
    </row>
    <row r="177" spans="1:10" ht="24.6" hidden="1" x14ac:dyDescent="0.4">
      <c r="A177" s="10"/>
      <c r="F177" s="6"/>
      <c r="G177" s="12"/>
      <c r="H177" s="13"/>
      <c r="I177" s="13"/>
      <c r="J177" s="13"/>
    </row>
    <row r="178" spans="1:10" ht="24.6" hidden="1" x14ac:dyDescent="0.4">
      <c r="A178" s="10"/>
      <c r="F178" s="6"/>
      <c r="G178" s="12"/>
      <c r="H178" s="13"/>
      <c r="I178" s="13"/>
      <c r="J178" s="13"/>
    </row>
    <row r="179" spans="1:10" ht="24.6" hidden="1" x14ac:dyDescent="0.4">
      <c r="A179" s="10"/>
      <c r="F179" s="6"/>
      <c r="G179" s="12"/>
      <c r="H179" s="13"/>
      <c r="I179" s="13"/>
      <c r="J179" s="13"/>
    </row>
    <row r="180" spans="1:10" ht="24.6" hidden="1" x14ac:dyDescent="0.4">
      <c r="A180" s="10"/>
      <c r="F180" s="6"/>
      <c r="G180" s="12"/>
      <c r="H180" s="13"/>
      <c r="I180" s="13"/>
      <c r="J180" s="13"/>
    </row>
    <row r="181" spans="1:10" ht="24.6" hidden="1" x14ac:dyDescent="0.4">
      <c r="A181" s="10"/>
      <c r="F181" s="6"/>
      <c r="G181" s="12"/>
      <c r="H181" s="13"/>
      <c r="I181" s="13"/>
      <c r="J181" s="13"/>
    </row>
    <row r="182" spans="1:10" ht="24.6" hidden="1" x14ac:dyDescent="0.4">
      <c r="A182" s="10"/>
      <c r="F182" s="6"/>
      <c r="G182" s="12"/>
      <c r="H182" s="13"/>
      <c r="I182" s="13"/>
      <c r="J182" s="13"/>
    </row>
    <row r="183" spans="1:10" ht="24.6" hidden="1" x14ac:dyDescent="0.4">
      <c r="A183" s="10"/>
      <c r="F183" s="6"/>
      <c r="G183" s="12"/>
      <c r="H183" s="13"/>
      <c r="I183" s="13"/>
      <c r="J183" s="13"/>
    </row>
    <row r="184" spans="1:10" ht="24.6" hidden="1" x14ac:dyDescent="0.4">
      <c r="A184" s="10"/>
      <c r="F184" s="6"/>
      <c r="G184" s="12"/>
      <c r="H184" s="13"/>
      <c r="I184" s="13"/>
      <c r="J184" s="13"/>
    </row>
    <row r="185" spans="1:10" ht="24.6" hidden="1" x14ac:dyDescent="0.4">
      <c r="A185" s="10"/>
      <c r="F185" s="6"/>
      <c r="G185" s="12"/>
      <c r="H185" s="13"/>
      <c r="I185" s="13"/>
      <c r="J185" s="13"/>
    </row>
    <row r="186" spans="1:10" ht="24.6" hidden="1" x14ac:dyDescent="0.4">
      <c r="A186" s="10"/>
      <c r="F186" s="6"/>
      <c r="G186" s="12"/>
      <c r="H186" s="13"/>
      <c r="I186" s="13"/>
      <c r="J186" s="13"/>
    </row>
    <row r="187" spans="1:10" ht="24.6" hidden="1" x14ac:dyDescent="0.4">
      <c r="A187" s="10"/>
      <c r="F187" s="6"/>
      <c r="G187" s="12"/>
      <c r="H187" s="13"/>
      <c r="I187" s="13"/>
      <c r="J187" s="13"/>
    </row>
    <row r="188" spans="1:10" ht="24.6" hidden="1" x14ac:dyDescent="0.4">
      <c r="A188" s="10"/>
      <c r="F188" s="6"/>
      <c r="G188" s="12"/>
      <c r="H188" s="13"/>
      <c r="I188" s="13"/>
      <c r="J188" s="13"/>
    </row>
    <row r="189" spans="1:10" ht="24.6" hidden="1" x14ac:dyDescent="0.4">
      <c r="A189" s="10"/>
      <c r="F189" s="6"/>
      <c r="G189" s="12"/>
      <c r="H189" s="13"/>
      <c r="I189" s="13"/>
      <c r="J189" s="13"/>
    </row>
    <row r="190" spans="1:10" ht="24.6" hidden="1" x14ac:dyDescent="0.4">
      <c r="A190" s="10"/>
      <c r="F190" s="6"/>
      <c r="G190" s="12"/>
      <c r="H190" s="13"/>
      <c r="I190" s="13"/>
      <c r="J190" s="13"/>
    </row>
    <row r="191" spans="1:10" ht="24.6" hidden="1" x14ac:dyDescent="0.4">
      <c r="A191" s="10"/>
      <c r="F191" s="6"/>
      <c r="G191" s="12"/>
      <c r="H191" s="13"/>
      <c r="I191" s="13"/>
      <c r="J191" s="13"/>
    </row>
    <row r="192" spans="1:10" ht="24.6" hidden="1" x14ac:dyDescent="0.4">
      <c r="A192" s="10"/>
      <c r="F192" s="6"/>
      <c r="G192" s="12"/>
      <c r="H192" s="13"/>
      <c r="I192" s="13"/>
      <c r="J192" s="13"/>
    </row>
    <row r="193" spans="1:10" ht="24.6" hidden="1" x14ac:dyDescent="0.4">
      <c r="A193" s="10"/>
      <c r="F193" s="6"/>
      <c r="G193" s="12"/>
      <c r="H193" s="13"/>
      <c r="I193" s="13"/>
      <c r="J193" s="13"/>
    </row>
    <row r="194" spans="1:10" ht="24.6" hidden="1" x14ac:dyDescent="0.4">
      <c r="A194" s="10"/>
      <c r="F194" s="6"/>
      <c r="G194" s="12"/>
      <c r="H194" s="13"/>
      <c r="I194" s="13"/>
      <c r="J194" s="13"/>
    </row>
    <row r="195" spans="1:10" ht="24.6" hidden="1" x14ac:dyDescent="0.4">
      <c r="A195" s="10"/>
      <c r="F195" s="6"/>
      <c r="G195" s="12"/>
      <c r="H195" s="13"/>
      <c r="I195" s="13"/>
      <c r="J195" s="13"/>
    </row>
    <row r="196" spans="1:10" ht="24.6" hidden="1" x14ac:dyDescent="0.4">
      <c r="A196" s="10"/>
      <c r="F196" s="6"/>
      <c r="G196" s="12"/>
      <c r="H196" s="13"/>
      <c r="I196" s="13"/>
      <c r="J196" s="13"/>
    </row>
    <row r="197" spans="1:10" ht="24.6" hidden="1" x14ac:dyDescent="0.4">
      <c r="A197" s="10"/>
      <c r="F197" s="6"/>
      <c r="G197" s="12"/>
      <c r="H197" s="13"/>
      <c r="I197" s="13"/>
      <c r="J197" s="13"/>
    </row>
    <row r="198" spans="1:10" ht="24.6" hidden="1" x14ac:dyDescent="0.4">
      <c r="A198" s="10"/>
      <c r="F198" s="6"/>
      <c r="G198" s="12"/>
      <c r="H198" s="13"/>
      <c r="I198" s="13"/>
      <c r="J198" s="13"/>
    </row>
    <row r="199" spans="1:10" ht="24.6" hidden="1" x14ac:dyDescent="0.4">
      <c r="A199" s="10"/>
      <c r="F199" s="6"/>
      <c r="G199" s="12"/>
      <c r="H199" s="13"/>
      <c r="I199" s="13"/>
      <c r="J199" s="13"/>
    </row>
    <row r="200" spans="1:10" ht="24.6" hidden="1" x14ac:dyDescent="0.4">
      <c r="A200" s="10"/>
      <c r="F200" s="6"/>
      <c r="G200" s="12"/>
      <c r="H200" s="13"/>
      <c r="I200" s="13"/>
      <c r="J200" s="13"/>
    </row>
    <row r="201" spans="1:10" ht="24.6" hidden="1" x14ac:dyDescent="0.4">
      <c r="A201" s="10"/>
      <c r="F201" s="6"/>
      <c r="G201" s="12"/>
      <c r="H201" s="13"/>
      <c r="I201" s="13"/>
      <c r="J201" s="13"/>
    </row>
    <row r="202" spans="1:10" ht="24.6" hidden="1" x14ac:dyDescent="0.4">
      <c r="A202" s="10"/>
      <c r="F202" s="6"/>
      <c r="G202" s="12"/>
      <c r="H202" s="13"/>
      <c r="I202" s="13"/>
      <c r="J202" s="13"/>
    </row>
    <row r="203" spans="1:10" ht="24.6" hidden="1" x14ac:dyDescent="0.4">
      <c r="A203" s="10"/>
      <c r="F203" s="6"/>
      <c r="G203" s="12"/>
      <c r="H203" s="13"/>
      <c r="I203" s="13"/>
      <c r="J203" s="13"/>
    </row>
    <row r="204" spans="1:10" ht="24.6" hidden="1" x14ac:dyDescent="0.4">
      <c r="A204" s="10"/>
      <c r="F204" s="6"/>
      <c r="G204" s="12"/>
      <c r="H204" s="13"/>
      <c r="I204" s="13"/>
      <c r="J204" s="13"/>
    </row>
    <row r="205" spans="1:10" ht="24.6" hidden="1" x14ac:dyDescent="0.4">
      <c r="A205" s="10"/>
      <c r="F205" s="6"/>
      <c r="G205" s="12"/>
      <c r="H205" s="13"/>
      <c r="I205" s="13"/>
      <c r="J205" s="13"/>
    </row>
    <row r="206" spans="1:10" ht="24.6" hidden="1" x14ac:dyDescent="0.4">
      <c r="A206" s="10"/>
      <c r="F206" s="6"/>
      <c r="G206" s="12"/>
      <c r="H206" s="13"/>
      <c r="I206" s="13"/>
      <c r="J206" s="13"/>
    </row>
    <row r="207" spans="1:10" ht="24.6" hidden="1" x14ac:dyDescent="0.4">
      <c r="A207" s="10"/>
      <c r="F207" s="6"/>
      <c r="G207" s="12"/>
      <c r="H207" s="13"/>
      <c r="I207" s="13"/>
      <c r="J207" s="13"/>
    </row>
    <row r="208" spans="1:10" ht="24.6" hidden="1" x14ac:dyDescent="0.4">
      <c r="A208" s="10"/>
      <c r="F208" s="6"/>
      <c r="G208" s="12"/>
      <c r="H208" s="13"/>
      <c r="I208" s="13"/>
      <c r="J208" s="13"/>
    </row>
    <row r="209" spans="1:10" ht="24.6" hidden="1" x14ac:dyDescent="0.4">
      <c r="A209" s="10"/>
      <c r="F209" s="6"/>
      <c r="G209" s="12"/>
      <c r="H209" s="13"/>
      <c r="I209" s="13"/>
      <c r="J209" s="13"/>
    </row>
    <row r="210" spans="1:10" ht="24.6" hidden="1" x14ac:dyDescent="0.4">
      <c r="A210" s="10"/>
      <c r="F210" s="6"/>
      <c r="G210" s="12"/>
      <c r="H210" s="13"/>
      <c r="I210" s="13"/>
      <c r="J210" s="13"/>
    </row>
    <row r="211" spans="1:10" ht="24.6" hidden="1" x14ac:dyDescent="0.4">
      <c r="A211" s="10"/>
      <c r="F211" s="6"/>
      <c r="G211" s="12"/>
      <c r="H211" s="13"/>
      <c r="I211" s="13"/>
      <c r="J211" s="13"/>
    </row>
    <row r="212" spans="1:10" ht="24.6" hidden="1" x14ac:dyDescent="0.4">
      <c r="A212" s="10"/>
      <c r="F212" s="6"/>
      <c r="G212" s="12"/>
      <c r="H212" s="13"/>
      <c r="I212" s="13"/>
      <c r="J212" s="13"/>
    </row>
    <row r="213" spans="1:10" ht="24.6" hidden="1" x14ac:dyDescent="0.4">
      <c r="A213" s="10"/>
      <c r="F213" s="6"/>
      <c r="G213" s="12"/>
      <c r="H213" s="13"/>
      <c r="I213" s="13"/>
      <c r="J213" s="13"/>
    </row>
    <row r="214" spans="1:10" ht="24.6" hidden="1" x14ac:dyDescent="0.4">
      <c r="A214" s="10"/>
      <c r="F214" s="6"/>
      <c r="G214" s="12"/>
      <c r="H214" s="13"/>
      <c r="I214" s="13"/>
      <c r="J214" s="13"/>
    </row>
    <row r="215" spans="1:10" ht="24.6" hidden="1" x14ac:dyDescent="0.4">
      <c r="A215" s="10"/>
      <c r="F215" s="6"/>
      <c r="G215" s="12"/>
      <c r="H215" s="13"/>
      <c r="I215" s="13"/>
      <c r="J215" s="13"/>
    </row>
    <row r="216" spans="1:10" ht="24.6" hidden="1" x14ac:dyDescent="0.4">
      <c r="A216" s="10"/>
      <c r="F216" s="6"/>
      <c r="G216" s="12"/>
      <c r="H216" s="13"/>
      <c r="I216" s="13"/>
      <c r="J216" s="13"/>
    </row>
    <row r="217" spans="1:10" ht="24.6" hidden="1" x14ac:dyDescent="0.4">
      <c r="A217" s="10"/>
      <c r="F217" s="6"/>
      <c r="G217" s="12"/>
      <c r="H217" s="13"/>
      <c r="I217" s="13"/>
      <c r="J217" s="13"/>
    </row>
    <row r="218" spans="1:10" ht="24.6" hidden="1" x14ac:dyDescent="0.4">
      <c r="A218" s="10"/>
      <c r="F218" s="6"/>
      <c r="G218" s="12"/>
      <c r="H218" s="13"/>
      <c r="I218" s="13"/>
      <c r="J218" s="13"/>
    </row>
    <row r="219" spans="1:10" ht="24.6" hidden="1" x14ac:dyDescent="0.4">
      <c r="A219" s="10"/>
      <c r="F219" s="6"/>
      <c r="G219" s="12"/>
      <c r="H219" s="13"/>
      <c r="I219" s="13"/>
      <c r="J219" s="13"/>
    </row>
    <row r="220" spans="1:10" ht="24.6" hidden="1" x14ac:dyDescent="0.4">
      <c r="A220" s="10"/>
      <c r="F220" s="6"/>
      <c r="G220" s="12"/>
      <c r="H220" s="13"/>
      <c r="I220" s="13"/>
      <c r="J220" s="13"/>
    </row>
    <row r="221" spans="1:10" ht="24.6" hidden="1" x14ac:dyDescent="0.4">
      <c r="A221" s="10"/>
      <c r="F221" s="6"/>
      <c r="G221" s="12"/>
      <c r="H221" s="13"/>
      <c r="I221" s="13"/>
      <c r="J221" s="13"/>
    </row>
    <row r="222" spans="1:10" ht="24.6" hidden="1" x14ac:dyDescent="0.4">
      <c r="A222" s="10"/>
      <c r="F222" s="6"/>
      <c r="G222" s="12"/>
      <c r="H222" s="13"/>
      <c r="I222" s="13"/>
      <c r="J222" s="13"/>
    </row>
    <row r="223" spans="1:10" ht="24.6" hidden="1" x14ac:dyDescent="0.4">
      <c r="A223" s="10"/>
      <c r="F223" s="6"/>
      <c r="G223" s="12"/>
      <c r="H223" s="13"/>
      <c r="I223" s="13"/>
      <c r="J223" s="13"/>
    </row>
    <row r="224" spans="1:10" ht="24.6" hidden="1" x14ac:dyDescent="0.4">
      <c r="A224" s="10"/>
      <c r="F224" s="6"/>
      <c r="G224" s="12"/>
      <c r="H224" s="13"/>
      <c r="I224" s="13"/>
      <c r="J224" s="13"/>
    </row>
    <row r="225" spans="1:10" ht="24.6" hidden="1" x14ac:dyDescent="0.4">
      <c r="A225" s="10"/>
      <c r="F225" s="6"/>
      <c r="G225" s="12"/>
      <c r="H225" s="13"/>
      <c r="I225" s="13"/>
      <c r="J225" s="13"/>
    </row>
    <row r="226" spans="1:10" ht="24.6" hidden="1" x14ac:dyDescent="0.4">
      <c r="A226" s="10"/>
      <c r="F226" s="6"/>
      <c r="G226" s="12"/>
      <c r="H226" s="13"/>
      <c r="I226" s="13"/>
      <c r="J226" s="13"/>
    </row>
    <row r="227" spans="1:10" ht="24.6" hidden="1" x14ac:dyDescent="0.4">
      <c r="A227" s="10"/>
      <c r="F227" s="6"/>
      <c r="G227" s="12"/>
      <c r="H227" s="13"/>
      <c r="I227" s="13"/>
      <c r="J227" s="13"/>
    </row>
    <row r="228" spans="1:10" ht="24.6" hidden="1" x14ac:dyDescent="0.4">
      <c r="A228" s="10"/>
      <c r="F228" s="6"/>
      <c r="G228" s="12"/>
      <c r="H228" s="13"/>
      <c r="I228" s="13"/>
      <c r="J228" s="13"/>
    </row>
    <row r="229" spans="1:10" ht="24.6" hidden="1" x14ac:dyDescent="0.4">
      <c r="A229" s="10"/>
      <c r="F229" s="6"/>
      <c r="G229" s="12"/>
      <c r="H229" s="13"/>
      <c r="I229" s="13"/>
      <c r="J229" s="13"/>
    </row>
    <row r="230" spans="1:10" ht="24.6" hidden="1" x14ac:dyDescent="0.4">
      <c r="A230" s="10"/>
      <c r="F230" s="6"/>
      <c r="G230" s="12"/>
      <c r="H230" s="13"/>
      <c r="I230" s="13"/>
      <c r="J230" s="13"/>
    </row>
    <row r="231" spans="1:10" ht="24.6" hidden="1" x14ac:dyDescent="0.4">
      <c r="A231" s="10"/>
      <c r="F231" s="6"/>
      <c r="G231" s="12"/>
      <c r="H231" s="13"/>
      <c r="I231" s="13"/>
      <c r="J231" s="13"/>
    </row>
    <row r="232" spans="1:10" ht="24.6" hidden="1" x14ac:dyDescent="0.4">
      <c r="A232" s="10"/>
      <c r="F232" s="6"/>
      <c r="G232" s="12"/>
      <c r="H232" s="13"/>
      <c r="I232" s="13"/>
      <c r="J232" s="13"/>
    </row>
    <row r="233" spans="1:10" ht="24.6" hidden="1" x14ac:dyDescent="0.4">
      <c r="A233" s="10"/>
      <c r="F233" s="6"/>
      <c r="G233" s="12"/>
      <c r="H233" s="13"/>
      <c r="I233" s="13"/>
      <c r="J233" s="13"/>
    </row>
    <row r="234" spans="1:10" ht="24.6" hidden="1" x14ac:dyDescent="0.4">
      <c r="A234" s="10"/>
      <c r="F234" s="6"/>
      <c r="G234" s="12"/>
      <c r="H234" s="13"/>
      <c r="I234" s="13"/>
      <c r="J234" s="13"/>
    </row>
    <row r="235" spans="1:10" ht="24.6" hidden="1" x14ac:dyDescent="0.4">
      <c r="A235" s="10"/>
      <c r="F235" s="6"/>
      <c r="G235" s="12"/>
      <c r="H235" s="13"/>
      <c r="I235" s="13"/>
      <c r="J235" s="13"/>
    </row>
    <row r="236" spans="1:10" ht="24.6" hidden="1" x14ac:dyDescent="0.4">
      <c r="A236" s="10"/>
      <c r="F236" s="6"/>
      <c r="G236" s="12"/>
      <c r="H236" s="13"/>
      <c r="I236" s="13"/>
      <c r="J236" s="13"/>
    </row>
    <row r="237" spans="1:10" ht="24.6" hidden="1" x14ac:dyDescent="0.4">
      <c r="A237" s="10"/>
      <c r="F237" s="6"/>
      <c r="G237" s="12"/>
      <c r="H237" s="13"/>
      <c r="I237" s="13"/>
      <c r="J237" s="13"/>
    </row>
    <row r="238" spans="1:10" ht="24.6" hidden="1" x14ac:dyDescent="0.4">
      <c r="A238" s="10"/>
      <c r="F238" s="6"/>
      <c r="G238" s="12"/>
      <c r="H238" s="13"/>
      <c r="I238" s="13"/>
      <c r="J238" s="13"/>
    </row>
    <row r="239" spans="1:10" ht="24.6" hidden="1" x14ac:dyDescent="0.4">
      <c r="A239" s="10"/>
      <c r="F239" s="6"/>
      <c r="G239" s="12"/>
      <c r="H239" s="13"/>
      <c r="I239" s="13"/>
      <c r="J239" s="13"/>
    </row>
    <row r="240" spans="1:10" ht="24.6" hidden="1" x14ac:dyDescent="0.4">
      <c r="A240" s="10"/>
      <c r="F240" s="6"/>
      <c r="G240" s="12"/>
      <c r="H240" s="13"/>
      <c r="I240" s="13"/>
      <c r="J240" s="13"/>
    </row>
    <row r="241" spans="1:10" ht="24.6" hidden="1" x14ac:dyDescent="0.4">
      <c r="A241" s="10"/>
      <c r="F241" s="6"/>
      <c r="G241" s="12"/>
      <c r="H241" s="13"/>
      <c r="I241" s="13"/>
      <c r="J241" s="13"/>
    </row>
    <row r="242" spans="1:10" ht="24.6" hidden="1" x14ac:dyDescent="0.4">
      <c r="A242" s="10"/>
      <c r="F242" s="6"/>
      <c r="G242" s="12"/>
      <c r="H242" s="13"/>
      <c r="I242" s="13"/>
      <c r="J242" s="13"/>
    </row>
    <row r="243" spans="1:10" ht="24.6" hidden="1" x14ac:dyDescent="0.4">
      <c r="A243" s="10"/>
      <c r="F243" s="6"/>
      <c r="G243" s="12"/>
      <c r="H243" s="13"/>
      <c r="I243" s="13"/>
      <c r="J243" s="13"/>
    </row>
    <row r="244" spans="1:10" ht="24.6" hidden="1" x14ac:dyDescent="0.4">
      <c r="A244" s="10"/>
      <c r="F244" s="6"/>
      <c r="G244" s="12"/>
      <c r="H244" s="13"/>
      <c r="I244" s="13"/>
      <c r="J244" s="13"/>
    </row>
    <row r="245" spans="1:10" ht="24.6" hidden="1" x14ac:dyDescent="0.4">
      <c r="A245" s="10"/>
      <c r="F245" s="6"/>
      <c r="G245" s="12"/>
      <c r="H245" s="13"/>
      <c r="I245" s="13"/>
      <c r="J245" s="13"/>
    </row>
    <row r="246" spans="1:10" ht="24.6" hidden="1" x14ac:dyDescent="0.4">
      <c r="A246" s="10"/>
      <c r="F246" s="6"/>
      <c r="G246" s="12"/>
      <c r="H246" s="13"/>
      <c r="I246" s="13"/>
      <c r="J246" s="13"/>
    </row>
    <row r="247" spans="1:10" ht="24.6" hidden="1" x14ac:dyDescent="0.4">
      <c r="A247" s="10"/>
      <c r="F247" s="6"/>
      <c r="G247" s="12"/>
      <c r="H247" s="13"/>
      <c r="I247" s="13"/>
      <c r="J247" s="13"/>
    </row>
    <row r="248" spans="1:10" ht="24.6" hidden="1" x14ac:dyDescent="0.4">
      <c r="A248" s="10"/>
      <c r="F248" s="6"/>
      <c r="G248" s="12"/>
      <c r="H248" s="13"/>
      <c r="I248" s="13"/>
      <c r="J248" s="13"/>
    </row>
    <row r="249" spans="1:10" ht="24.6" hidden="1" x14ac:dyDescent="0.4">
      <c r="A249" s="10"/>
      <c r="F249" s="6"/>
      <c r="G249" s="12"/>
      <c r="H249" s="13"/>
      <c r="I249" s="13"/>
      <c r="J249" s="13"/>
    </row>
    <row r="250" spans="1:10" ht="24.6" hidden="1" x14ac:dyDescent="0.4">
      <c r="A250" s="10"/>
      <c r="F250" s="6"/>
      <c r="G250" s="12"/>
      <c r="H250" s="13"/>
      <c r="I250" s="13"/>
      <c r="J250" s="13"/>
    </row>
    <row r="251" spans="1:10" ht="24.6" hidden="1" x14ac:dyDescent="0.4">
      <c r="A251" s="10"/>
      <c r="F251" s="6"/>
      <c r="G251" s="12"/>
      <c r="H251" s="13"/>
      <c r="I251" s="13"/>
      <c r="J251" s="13"/>
    </row>
  </sheetData>
  <autoFilter ref="A1:J12" xr:uid="{21657287-028B-4515-8DA7-8230EF1B7018}"/>
  <sortState xmlns:xlrd2="http://schemas.microsoft.com/office/spreadsheetml/2017/richdata2" ref="A2:G251">
    <sortCondition descending="1" ref="F53:F251"/>
  </sortState>
  <phoneticPr fontId="1" type="noConversion"/>
  <conditionalFormatting sqref="G2:G251">
    <cfRule type="cellIs" dxfId="11" priority="3" operator="equal">
      <formula>"C"</formula>
    </cfRule>
    <cfRule type="cellIs" dxfId="10" priority="4" operator="equal">
      <formula>"B"</formula>
    </cfRule>
    <cfRule type="cellIs" dxfId="9" priority="5" operator="equal">
      <formula>"A"</formula>
    </cfRule>
    <cfRule type="cellIs" dxfId="8" priority="6" operator="equal">
      <formula>"S"</formula>
    </cfRule>
  </conditionalFormatting>
  <conditionalFormatting sqref="I2:I251">
    <cfRule type="notContainsBlanks" dxfId="7" priority="1">
      <formula>LEN(TRIM(I2))&gt;0</formula>
    </cfRule>
  </conditionalFormatting>
  <conditionalFormatting sqref="J2:J251">
    <cfRule type="containsText" dxfId="6" priority="2" operator="containsText" text="生日快乐">
      <formula>NOT(ISERROR(SEARCH("生日快乐",J2)))</formula>
    </cfRule>
  </conditionalFormatting>
  <dataValidations count="2">
    <dataValidation type="decimal" allowBlank="1" showInputMessage="1" showErrorMessage="1" sqref="F2:F251" xr:uid="{F1E15F6B-B8F4-4C05-84EF-2A0C625CA22E}">
      <formula1>6</formula1>
      <formula2>10</formula2>
    </dataValidation>
    <dataValidation type="list" allowBlank="1" showInputMessage="1" showErrorMessage="1" sqref="G2:G251" xr:uid="{48E04B0E-B8B9-4A50-9569-824BEEC55BDE}">
      <formula1>"S,A,B,C"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79ED-890A-413A-B3C3-74A8E5D1528F}">
  <dimension ref="A1:J100"/>
  <sheetViews>
    <sheetView tabSelected="1" zoomScale="85" zoomScaleNormal="85" workbookViewId="0">
      <pane ySplit="1" topLeftCell="A2" activePane="bottomLeft" state="frozen"/>
      <selection pane="bottomLeft" activeCell="C18" sqref="C18"/>
    </sheetView>
  </sheetViews>
  <sheetFormatPr defaultColWidth="0" defaultRowHeight="13.8" zeroHeight="1" x14ac:dyDescent="0.25"/>
  <cols>
    <col min="1" max="1" width="14.109375" bestFit="1" customWidth="1"/>
    <col min="2" max="2" width="44.33203125" bestFit="1" customWidth="1"/>
    <col min="3" max="3" width="110.6640625" customWidth="1"/>
    <col min="4" max="4" width="23.5546875" bestFit="1" customWidth="1"/>
    <col min="5" max="5" width="35.88671875" bestFit="1" customWidth="1"/>
    <col min="6" max="6" width="21.44140625" bestFit="1" customWidth="1"/>
    <col min="7" max="8" width="14.109375" bestFit="1" customWidth="1"/>
    <col min="9" max="9" width="14.21875" bestFit="1" customWidth="1"/>
    <col min="10" max="10" width="14.109375" bestFit="1" customWidth="1"/>
    <col min="11" max="16384" width="8.88671875" hidden="1"/>
  </cols>
  <sheetData>
    <row r="1" spans="1:10" ht="25.8" x14ac:dyDescent="0.25">
      <c r="A1" s="8" t="s">
        <v>2</v>
      </c>
      <c r="B1" s="8" t="s">
        <v>18</v>
      </c>
      <c r="C1" s="8" t="s">
        <v>0</v>
      </c>
      <c r="D1" s="9" t="s">
        <v>3</v>
      </c>
      <c r="E1" s="8" t="s">
        <v>14</v>
      </c>
      <c r="F1" s="8" t="s">
        <v>13</v>
      </c>
      <c r="G1" s="8" t="s">
        <v>1</v>
      </c>
      <c r="H1" s="8" t="s">
        <v>15</v>
      </c>
      <c r="I1" s="8" t="s">
        <v>17</v>
      </c>
      <c r="J1" s="8" t="s">
        <v>16</v>
      </c>
    </row>
    <row r="2" spans="1:10" ht="24.6" x14ac:dyDescent="0.4">
      <c r="A2" s="10">
        <v>1</v>
      </c>
      <c r="B2" s="6" t="s">
        <v>171</v>
      </c>
      <c r="C2" s="6" t="s">
        <v>172</v>
      </c>
      <c r="D2" s="7">
        <v>43497</v>
      </c>
      <c r="E2" s="11" t="s">
        <v>143</v>
      </c>
      <c r="F2" s="6">
        <v>9.9</v>
      </c>
      <c r="G2" s="12" t="str">
        <f>IF(AND(F2&lt;=10, F2&gt;=9), "S", IF(F2&gt;=8, "A", IF(F2&gt;=7, "B", "C")))</f>
        <v>S</v>
      </c>
      <c r="H2" s="13">
        <f ca="1">YEAR(TODAY())-YEAR(D2)</f>
        <v>7</v>
      </c>
      <c r="I2" s="13" t="str">
        <f ca="1">IF(MOD(H2,10)=0,H2&amp;"周岁快乐","")</f>
        <v/>
      </c>
      <c r="J2" s="13" t="str">
        <f ca="1">IF(AND(MONTH(D2)=MONTH(TODAY()),DAY(D2)=DAY(TODAY())),"生日快乐","")</f>
        <v/>
      </c>
    </row>
    <row r="3" spans="1:10" ht="24.6" x14ac:dyDescent="0.4">
      <c r="A3" s="10">
        <v>2</v>
      </c>
      <c r="B3" s="6" t="s">
        <v>173</v>
      </c>
      <c r="C3" s="6" t="s">
        <v>174</v>
      </c>
      <c r="D3" s="7">
        <v>43070</v>
      </c>
      <c r="E3" s="11" t="s">
        <v>176</v>
      </c>
      <c r="F3" s="6">
        <v>9.9</v>
      </c>
      <c r="G3" s="12" t="str">
        <f>IF(AND(F3&lt;=10, F3&gt;=9), "S", IF(F3&gt;=8, "A", IF(F3&gt;=7, "B", "C")))</f>
        <v>S</v>
      </c>
      <c r="H3" s="13">
        <f ca="1">YEAR(TODAY())-YEAR(D3)</f>
        <v>9</v>
      </c>
      <c r="I3" s="13" t="str">
        <f ca="1">IF(MOD(H3,10)=0,H3&amp;"周岁快乐","")</f>
        <v/>
      </c>
      <c r="J3" s="13" t="str">
        <f ca="1">IF(AND(MONTH(D3)=MONTH(TODAY()),DAY(D3)=DAY(TODAY())),"生日快乐","")</f>
        <v/>
      </c>
    </row>
    <row r="4" spans="1:10" ht="24.6" x14ac:dyDescent="0.4">
      <c r="A4" s="10">
        <v>3</v>
      </c>
      <c r="B4" s="6" t="s">
        <v>175</v>
      </c>
      <c r="C4" s="6" t="s">
        <v>177</v>
      </c>
      <c r="D4" s="16">
        <v>33482</v>
      </c>
      <c r="E4" s="11" t="s">
        <v>176</v>
      </c>
      <c r="F4" s="6">
        <v>9.6</v>
      </c>
      <c r="G4" s="12" t="str">
        <f>IF(AND(F4&lt;=10, F4&gt;=9), "S", IF(F4&gt;=8, "A", IF(F4&gt;=7, "B", "C")))</f>
        <v>S</v>
      </c>
      <c r="H4" s="13">
        <f ca="1">YEAR(TODAY())-YEAR(D4)</f>
        <v>35</v>
      </c>
      <c r="I4" s="13" t="str">
        <f ca="1">IF(MOD(H4,10)=0,H4&amp;"周岁快乐","")</f>
        <v/>
      </c>
      <c r="J4" s="13" t="str">
        <f ca="1">IF(AND(MONTH(D4)=MONTH(TODAY()),DAY(D4)=DAY(TODAY())),"生日快乐","")</f>
        <v/>
      </c>
    </row>
    <row r="5" spans="1:10" ht="24.6" x14ac:dyDescent="0.4">
      <c r="A5" s="10"/>
      <c r="B5" s="6"/>
      <c r="C5" s="6"/>
      <c r="D5" s="7"/>
      <c r="E5" s="11"/>
      <c r="F5" s="6"/>
      <c r="G5" s="12"/>
      <c r="H5" s="13"/>
      <c r="I5" s="13"/>
      <c r="J5" s="13"/>
    </row>
    <row r="6" spans="1:10" ht="24.6" x14ac:dyDescent="0.4">
      <c r="A6" s="10"/>
      <c r="B6" s="6"/>
      <c r="C6" s="6"/>
      <c r="D6" s="7"/>
      <c r="E6" s="11"/>
      <c r="F6" s="6"/>
      <c r="G6" s="12"/>
      <c r="H6" s="13"/>
      <c r="I6" s="13"/>
      <c r="J6" s="13"/>
    </row>
    <row r="7" spans="1:10" ht="24.6" x14ac:dyDescent="0.4">
      <c r="A7" s="10"/>
      <c r="B7" s="6"/>
      <c r="C7" s="6"/>
      <c r="D7" s="7"/>
      <c r="E7" s="11"/>
      <c r="F7" s="6"/>
      <c r="G7" s="12"/>
      <c r="H7" s="13"/>
      <c r="I7" s="13"/>
      <c r="J7" s="13"/>
    </row>
    <row r="8" spans="1:10" ht="24.6" x14ac:dyDescent="0.4">
      <c r="A8" s="10"/>
      <c r="B8" s="6"/>
      <c r="C8" s="6"/>
      <c r="D8" s="7"/>
      <c r="E8" s="11"/>
      <c r="F8" s="6"/>
      <c r="G8" s="12"/>
      <c r="H8" s="13"/>
      <c r="I8" s="13"/>
      <c r="J8" s="13"/>
    </row>
    <row r="9" spans="1:10" ht="24.6" x14ac:dyDescent="0.4">
      <c r="A9" s="10"/>
      <c r="B9" s="6"/>
      <c r="C9" s="6"/>
      <c r="D9" s="7"/>
      <c r="E9" s="11"/>
      <c r="F9" s="6"/>
      <c r="G9" s="12"/>
      <c r="H9" s="13"/>
      <c r="I9" s="13"/>
      <c r="J9" s="13"/>
    </row>
    <row r="10" spans="1:10" ht="24.6" x14ac:dyDescent="0.4">
      <c r="A10" s="10"/>
      <c r="B10" s="6"/>
      <c r="C10" s="6"/>
      <c r="D10" s="7"/>
      <c r="E10" s="11"/>
      <c r="F10" s="6"/>
      <c r="G10" s="12"/>
      <c r="H10" s="13"/>
      <c r="I10" s="13"/>
      <c r="J10" s="13"/>
    </row>
    <row r="11" spans="1:10" ht="24.6" x14ac:dyDescent="0.4">
      <c r="A11" s="10"/>
      <c r="B11" s="6"/>
      <c r="C11" s="6"/>
      <c r="D11" s="7"/>
      <c r="E11" s="11"/>
      <c r="F11" s="6"/>
      <c r="G11" s="12"/>
      <c r="H11" s="13"/>
      <c r="I11" s="13"/>
      <c r="J11" s="13"/>
    </row>
    <row r="12" spans="1:10" ht="24.6" x14ac:dyDescent="0.4">
      <c r="A12" s="10"/>
      <c r="B12" s="6"/>
      <c r="C12" s="6"/>
      <c r="D12" s="7"/>
      <c r="E12" s="11"/>
      <c r="F12" s="6"/>
      <c r="G12" s="12"/>
      <c r="H12" s="13"/>
      <c r="I12" s="13"/>
      <c r="J12" s="13"/>
    </row>
    <row r="13" spans="1:10" ht="24.6" x14ac:dyDescent="0.4">
      <c r="A13" s="10"/>
      <c r="B13" s="6"/>
      <c r="C13" s="6"/>
      <c r="D13" s="7"/>
      <c r="E13" s="11"/>
      <c r="F13" s="6"/>
      <c r="G13" s="12"/>
      <c r="H13" s="13"/>
      <c r="I13" s="13"/>
      <c r="J13" s="13"/>
    </row>
    <row r="14" spans="1:10" ht="24.6" x14ac:dyDescent="0.4">
      <c r="A14" s="10"/>
      <c r="B14" s="6"/>
      <c r="C14" s="6"/>
      <c r="D14" s="7"/>
      <c r="E14" s="11"/>
      <c r="F14" s="6"/>
      <c r="G14" s="12"/>
      <c r="H14" s="13"/>
      <c r="I14" s="13"/>
      <c r="J14" s="13"/>
    </row>
    <row r="15" spans="1:10" ht="24.6" x14ac:dyDescent="0.4">
      <c r="A15" s="10"/>
      <c r="B15" s="6"/>
      <c r="C15" s="6"/>
      <c r="D15" s="7"/>
      <c r="E15" s="11"/>
      <c r="F15" s="6"/>
      <c r="G15" s="12"/>
      <c r="H15" s="13"/>
      <c r="I15" s="13"/>
      <c r="J15" s="13"/>
    </row>
    <row r="16" spans="1:10" ht="24.6" x14ac:dyDescent="0.4">
      <c r="A16" s="10"/>
      <c r="B16" s="6"/>
      <c r="C16" s="6"/>
      <c r="D16" s="7"/>
      <c r="E16" s="11"/>
      <c r="F16" s="6"/>
      <c r="G16" s="12"/>
      <c r="H16" s="13"/>
      <c r="I16" s="13"/>
      <c r="J16" s="13"/>
    </row>
    <row r="17" spans="1:10" ht="24.6" x14ac:dyDescent="0.4">
      <c r="A17" s="10"/>
      <c r="B17" s="6"/>
      <c r="C17" s="6"/>
      <c r="D17" s="7"/>
      <c r="E17" s="11"/>
      <c r="F17" s="6"/>
      <c r="G17" s="12"/>
      <c r="H17" s="13"/>
      <c r="I17" s="13"/>
      <c r="J17" s="13"/>
    </row>
    <row r="18" spans="1:10" ht="24.6" x14ac:dyDescent="0.4">
      <c r="A18" s="10"/>
      <c r="B18" s="6"/>
      <c r="C18" s="6"/>
      <c r="D18" s="7"/>
      <c r="E18" s="11"/>
      <c r="F18" s="6"/>
      <c r="G18" s="12"/>
      <c r="H18" s="13"/>
      <c r="I18" s="13"/>
      <c r="J18" s="13"/>
    </row>
    <row r="19" spans="1:10" ht="24.6" x14ac:dyDescent="0.4">
      <c r="A19" s="10"/>
      <c r="B19" s="6"/>
      <c r="C19" s="6"/>
      <c r="D19" s="7"/>
      <c r="E19" s="11"/>
      <c r="F19" s="6"/>
      <c r="G19" s="12"/>
      <c r="H19" s="13"/>
      <c r="I19" s="13"/>
      <c r="J19" s="13"/>
    </row>
    <row r="20" spans="1:10" ht="24.6" x14ac:dyDescent="0.4">
      <c r="A20" s="10"/>
      <c r="B20" s="6"/>
      <c r="C20" s="6"/>
      <c r="D20" s="7"/>
      <c r="E20" s="11"/>
      <c r="F20" s="6"/>
      <c r="G20" s="12"/>
      <c r="H20" s="13"/>
      <c r="I20" s="13"/>
      <c r="J20" s="13"/>
    </row>
    <row r="21" spans="1:10" ht="24.6" x14ac:dyDescent="0.4">
      <c r="A21" s="10"/>
      <c r="B21" s="6"/>
      <c r="C21" s="6"/>
      <c r="D21" s="7"/>
      <c r="E21" s="11"/>
      <c r="F21" s="6"/>
      <c r="G21" s="12"/>
      <c r="H21" s="13"/>
      <c r="I21" s="13"/>
      <c r="J21" s="13"/>
    </row>
    <row r="22" spans="1:10" ht="24.6" x14ac:dyDescent="0.4">
      <c r="A22" s="10"/>
      <c r="B22" s="6"/>
      <c r="C22" s="6"/>
      <c r="D22" s="7"/>
      <c r="E22" s="11"/>
      <c r="F22" s="6"/>
      <c r="G22" s="12"/>
      <c r="H22" s="13"/>
      <c r="I22" s="13"/>
      <c r="J22" s="13"/>
    </row>
    <row r="23" spans="1:10" ht="24.6" x14ac:dyDescent="0.4">
      <c r="A23" s="10"/>
      <c r="B23" s="6"/>
      <c r="C23" s="6"/>
      <c r="D23" s="7"/>
      <c r="E23" s="11"/>
      <c r="F23" s="6"/>
      <c r="G23" s="12"/>
      <c r="H23" s="13"/>
      <c r="I23" s="13"/>
      <c r="J23" s="13"/>
    </row>
    <row r="24" spans="1:10" ht="24.6" x14ac:dyDescent="0.4">
      <c r="A24" s="10"/>
      <c r="B24" s="6"/>
      <c r="C24" s="6"/>
      <c r="D24" s="7"/>
      <c r="E24" s="11"/>
      <c r="F24" s="6"/>
      <c r="G24" s="12"/>
      <c r="H24" s="13"/>
      <c r="I24" s="13"/>
      <c r="J24" s="13"/>
    </row>
    <row r="25" spans="1:10" ht="24.6" x14ac:dyDescent="0.4">
      <c r="A25" s="10"/>
      <c r="B25" s="6"/>
      <c r="C25" s="6"/>
      <c r="D25" s="7"/>
      <c r="E25" s="11"/>
      <c r="F25" s="6"/>
      <c r="G25" s="12"/>
      <c r="H25" s="13"/>
      <c r="I25" s="13"/>
      <c r="J25" s="13"/>
    </row>
    <row r="26" spans="1:10" ht="24.6" x14ac:dyDescent="0.4">
      <c r="A26" s="10"/>
      <c r="B26" s="6"/>
      <c r="C26" s="6"/>
      <c r="D26" s="7"/>
      <c r="E26" s="11"/>
      <c r="F26" s="6"/>
      <c r="G26" s="12"/>
      <c r="H26" s="13"/>
      <c r="I26" s="13"/>
      <c r="J26" s="13"/>
    </row>
    <row r="27" spans="1:10" ht="24.6" x14ac:dyDescent="0.4">
      <c r="A27" s="10"/>
      <c r="B27" s="6"/>
      <c r="C27" s="6"/>
      <c r="D27" s="7"/>
      <c r="E27" s="11"/>
      <c r="F27" s="6"/>
      <c r="G27" s="12"/>
      <c r="H27" s="13"/>
      <c r="I27" s="13"/>
      <c r="J27" s="13"/>
    </row>
    <row r="28" spans="1:10" ht="24.6" x14ac:dyDescent="0.4">
      <c r="A28" s="10"/>
      <c r="B28" s="6"/>
      <c r="C28" s="6"/>
      <c r="D28" s="7"/>
      <c r="E28" s="11"/>
      <c r="F28" s="6"/>
      <c r="G28" s="12"/>
      <c r="H28" s="13"/>
      <c r="I28" s="13"/>
      <c r="J28" s="13"/>
    </row>
    <row r="29" spans="1:10" ht="24.6" x14ac:dyDescent="0.4">
      <c r="A29" s="10"/>
      <c r="B29" s="6"/>
      <c r="C29" s="6"/>
      <c r="D29" s="7"/>
      <c r="E29" s="11"/>
      <c r="F29" s="6"/>
      <c r="G29" s="12"/>
      <c r="H29" s="13"/>
      <c r="I29" s="13"/>
      <c r="J29" s="13"/>
    </row>
    <row r="30" spans="1:10" ht="24.6" x14ac:dyDescent="0.4">
      <c r="A30" s="10"/>
      <c r="B30" s="6"/>
      <c r="C30" s="6"/>
      <c r="D30" s="7"/>
      <c r="E30" s="11"/>
      <c r="F30" s="6"/>
      <c r="G30" s="12"/>
      <c r="H30" s="13"/>
      <c r="I30" s="13"/>
      <c r="J30" s="13"/>
    </row>
    <row r="31" spans="1:10" ht="24.6" x14ac:dyDescent="0.4">
      <c r="A31" s="10"/>
      <c r="B31" s="6"/>
      <c r="C31" s="6"/>
      <c r="D31" s="7"/>
      <c r="E31" s="11"/>
      <c r="F31" s="6"/>
      <c r="G31" s="12"/>
      <c r="H31" s="13"/>
      <c r="I31" s="13"/>
      <c r="J31" s="13"/>
    </row>
    <row r="32" spans="1:10" ht="24.6" x14ac:dyDescent="0.4">
      <c r="A32" s="10"/>
      <c r="B32" s="6"/>
      <c r="C32" s="6"/>
      <c r="D32" s="7"/>
      <c r="E32" s="11"/>
      <c r="F32" s="6"/>
      <c r="G32" s="12"/>
      <c r="H32" s="13"/>
      <c r="I32" s="13"/>
      <c r="J32" s="13"/>
    </row>
    <row r="33" spans="1:10" ht="24.6" x14ac:dyDescent="0.4">
      <c r="A33" s="10"/>
      <c r="B33" s="6"/>
      <c r="C33" s="6"/>
      <c r="D33" s="7"/>
      <c r="E33" s="11"/>
      <c r="F33" s="6"/>
      <c r="G33" s="12"/>
      <c r="H33" s="13"/>
      <c r="I33" s="13"/>
      <c r="J33" s="13"/>
    </row>
    <row r="34" spans="1:10" ht="24.6" x14ac:dyDescent="0.4">
      <c r="A34" s="10"/>
      <c r="B34" s="6"/>
      <c r="C34" s="6"/>
      <c r="D34" s="7"/>
      <c r="E34" s="11"/>
      <c r="F34" s="6"/>
      <c r="G34" s="12"/>
      <c r="H34" s="13"/>
      <c r="I34" s="13"/>
      <c r="J34" s="13"/>
    </row>
    <row r="35" spans="1:10" ht="24.6" x14ac:dyDescent="0.4">
      <c r="A35" s="10"/>
      <c r="B35" s="6"/>
      <c r="C35" s="6"/>
      <c r="D35" s="7"/>
      <c r="E35" s="11"/>
      <c r="F35" s="6"/>
      <c r="G35" s="12"/>
      <c r="H35" s="13"/>
      <c r="I35" s="13"/>
      <c r="J35" s="13"/>
    </row>
    <row r="36" spans="1:10" ht="24.6" x14ac:dyDescent="0.4">
      <c r="A36" s="10"/>
      <c r="B36" s="6"/>
      <c r="C36" s="6"/>
      <c r="D36" s="7"/>
      <c r="E36" s="11"/>
      <c r="F36" s="6"/>
      <c r="G36" s="12"/>
      <c r="H36" s="13"/>
      <c r="I36" s="13"/>
      <c r="J36" s="13"/>
    </row>
    <row r="37" spans="1:10" ht="24.6" x14ac:dyDescent="0.4">
      <c r="A37" s="10"/>
      <c r="B37" s="6"/>
      <c r="C37" s="6"/>
      <c r="D37" s="7"/>
      <c r="E37" s="11"/>
      <c r="F37" s="6"/>
      <c r="G37" s="12"/>
      <c r="H37" s="13"/>
      <c r="I37" s="13"/>
      <c r="J37" s="13"/>
    </row>
    <row r="38" spans="1:10" ht="24.6" x14ac:dyDescent="0.4">
      <c r="A38" s="10"/>
      <c r="B38" s="6"/>
      <c r="C38" s="6"/>
      <c r="D38" s="7"/>
      <c r="E38" s="11"/>
      <c r="F38" s="6"/>
      <c r="G38" s="12"/>
      <c r="H38" s="13"/>
      <c r="I38" s="13"/>
      <c r="J38" s="13"/>
    </row>
    <row r="39" spans="1:10" ht="24.6" x14ac:dyDescent="0.4">
      <c r="A39" s="10"/>
      <c r="B39" s="6"/>
      <c r="C39" s="6"/>
      <c r="D39" s="7"/>
      <c r="E39" s="11"/>
      <c r="F39" s="6"/>
      <c r="G39" s="12"/>
      <c r="H39" s="13"/>
      <c r="I39" s="13"/>
      <c r="J39" s="13"/>
    </row>
    <row r="40" spans="1:10" ht="24.6" x14ac:dyDescent="0.4">
      <c r="A40" s="10"/>
      <c r="B40" s="6"/>
      <c r="C40" s="6"/>
      <c r="D40" s="7"/>
      <c r="E40" s="11"/>
      <c r="F40" s="6"/>
      <c r="G40" s="12"/>
      <c r="H40" s="13"/>
      <c r="I40" s="13"/>
      <c r="J40" s="13"/>
    </row>
    <row r="41" spans="1:10" ht="24.6" x14ac:dyDescent="0.4">
      <c r="A41" s="10"/>
      <c r="B41" s="6"/>
      <c r="C41" s="6"/>
      <c r="D41" s="7"/>
      <c r="E41" s="11"/>
      <c r="F41" s="6"/>
      <c r="G41" s="12"/>
      <c r="H41" s="13"/>
      <c r="I41" s="13"/>
      <c r="J41" s="13"/>
    </row>
    <row r="42" spans="1:10" ht="24.6" x14ac:dyDescent="0.4">
      <c r="A42" s="10"/>
      <c r="B42" s="6"/>
      <c r="C42" s="6"/>
      <c r="D42" s="7"/>
      <c r="E42" s="11"/>
      <c r="F42" s="6"/>
      <c r="G42" s="12"/>
      <c r="H42" s="13"/>
      <c r="I42" s="13"/>
      <c r="J42" s="13"/>
    </row>
    <row r="43" spans="1:10" ht="24.6" x14ac:dyDescent="0.4">
      <c r="A43" s="10"/>
      <c r="B43" s="6"/>
      <c r="C43" s="6"/>
      <c r="D43" s="7"/>
      <c r="E43" s="11"/>
      <c r="F43" s="6"/>
      <c r="G43" s="12"/>
      <c r="H43" s="13"/>
      <c r="I43" s="13"/>
      <c r="J43" s="13"/>
    </row>
    <row r="44" spans="1:10" ht="24.6" x14ac:dyDescent="0.4">
      <c r="A44" s="10"/>
      <c r="B44" s="6"/>
      <c r="C44" s="6"/>
      <c r="D44" s="7"/>
      <c r="E44" s="11"/>
      <c r="F44" s="6"/>
      <c r="G44" s="12"/>
      <c r="H44" s="13"/>
      <c r="I44" s="13"/>
      <c r="J44" s="13"/>
    </row>
    <row r="45" spans="1:10" ht="24.6" x14ac:dyDescent="0.4">
      <c r="A45" s="10"/>
      <c r="B45" s="6"/>
      <c r="C45" s="6"/>
      <c r="D45" s="7"/>
      <c r="E45" s="11"/>
      <c r="F45" s="6"/>
      <c r="G45" s="12"/>
      <c r="H45" s="13"/>
      <c r="I45" s="13"/>
      <c r="J45" s="13"/>
    </row>
    <row r="46" spans="1:10" ht="24.6" x14ac:dyDescent="0.4">
      <c r="A46" s="10"/>
      <c r="B46" s="6"/>
      <c r="C46" s="6"/>
      <c r="D46" s="7"/>
      <c r="E46" s="11"/>
      <c r="F46" s="6"/>
      <c r="G46" s="12"/>
      <c r="H46" s="13"/>
      <c r="I46" s="13"/>
      <c r="J46" s="13"/>
    </row>
    <row r="47" spans="1:10" ht="24.6" x14ac:dyDescent="0.4">
      <c r="A47" s="10"/>
      <c r="B47" s="6"/>
      <c r="C47" s="6"/>
      <c r="D47" s="7"/>
      <c r="E47" s="11"/>
      <c r="F47" s="6"/>
      <c r="G47" s="12"/>
      <c r="H47" s="13"/>
      <c r="I47" s="13"/>
      <c r="J47" s="13"/>
    </row>
    <row r="48" spans="1:10" ht="24.6" x14ac:dyDescent="0.4">
      <c r="A48" s="10"/>
      <c r="B48" s="6"/>
      <c r="C48" s="6"/>
      <c r="D48" s="7"/>
      <c r="E48" s="11"/>
      <c r="F48" s="6"/>
      <c r="G48" s="12"/>
      <c r="H48" s="13"/>
      <c r="I48" s="13"/>
      <c r="J48" s="13"/>
    </row>
    <row r="49" spans="1:10" ht="24.6" x14ac:dyDescent="0.4">
      <c r="A49" s="10"/>
      <c r="B49" s="6"/>
      <c r="C49" s="6"/>
      <c r="D49" s="7"/>
      <c r="E49" s="11"/>
      <c r="F49" s="6"/>
      <c r="G49" s="12"/>
      <c r="H49" s="13"/>
      <c r="I49" s="13"/>
      <c r="J49" s="13"/>
    </row>
    <row r="50" spans="1:10" ht="24.6" x14ac:dyDescent="0.4">
      <c r="A50" s="10"/>
      <c r="B50" s="6"/>
      <c r="C50" s="6"/>
      <c r="D50" s="7"/>
      <c r="E50" s="11"/>
      <c r="F50" s="6"/>
      <c r="G50" s="12"/>
      <c r="H50" s="13"/>
      <c r="I50" s="13"/>
      <c r="J50" s="13"/>
    </row>
    <row r="51" spans="1:10" ht="24.6" x14ac:dyDescent="0.4">
      <c r="A51" s="10"/>
      <c r="B51" s="6"/>
      <c r="C51" s="6"/>
      <c r="D51" s="7"/>
      <c r="E51" s="11"/>
      <c r="F51" s="6"/>
      <c r="G51" s="12"/>
      <c r="H51" s="13"/>
      <c r="I51" s="13"/>
      <c r="J51" s="13"/>
    </row>
    <row r="52" spans="1:10" ht="24.6" x14ac:dyDescent="0.4">
      <c r="A52" s="10"/>
      <c r="B52" s="6"/>
      <c r="C52" s="6"/>
      <c r="D52" s="7"/>
      <c r="E52" s="11"/>
      <c r="F52" s="6"/>
      <c r="G52" s="12"/>
      <c r="H52" s="13"/>
      <c r="I52" s="13"/>
      <c r="J52" s="13"/>
    </row>
    <row r="53" spans="1:10" ht="24.6" x14ac:dyDescent="0.4">
      <c r="A53" s="10"/>
      <c r="B53" s="6"/>
      <c r="C53" s="6"/>
      <c r="D53" s="7"/>
      <c r="E53" s="11"/>
      <c r="F53" s="6"/>
      <c r="G53" s="12"/>
      <c r="H53" s="13"/>
      <c r="I53" s="13"/>
      <c r="J53" s="13"/>
    </row>
    <row r="54" spans="1:10" ht="24.6" x14ac:dyDescent="0.4">
      <c r="A54" s="10"/>
      <c r="B54" s="6"/>
      <c r="C54" s="6"/>
      <c r="D54" s="7"/>
      <c r="E54" s="11"/>
      <c r="F54" s="6"/>
      <c r="G54" s="12"/>
      <c r="H54" s="13"/>
      <c r="I54" s="13"/>
      <c r="J54" s="13"/>
    </row>
    <row r="55" spans="1:10" ht="24.6" x14ac:dyDescent="0.4">
      <c r="A55" s="10"/>
      <c r="B55" s="6"/>
      <c r="C55" s="6"/>
      <c r="D55" s="7"/>
      <c r="E55" s="11"/>
      <c r="F55" s="6"/>
      <c r="G55" s="12"/>
      <c r="H55" s="13"/>
      <c r="I55" s="13"/>
      <c r="J55" s="13"/>
    </row>
    <row r="56" spans="1:10" ht="24.6" x14ac:dyDescent="0.4">
      <c r="A56" s="10"/>
      <c r="B56" s="6"/>
      <c r="C56" s="6"/>
      <c r="D56" s="7"/>
      <c r="E56" s="11"/>
      <c r="F56" s="6"/>
      <c r="G56" s="12"/>
      <c r="H56" s="13"/>
      <c r="I56" s="13"/>
      <c r="J56" s="13"/>
    </row>
    <row r="57" spans="1:10" ht="24.6" x14ac:dyDescent="0.4">
      <c r="A57" s="10"/>
      <c r="B57" s="6"/>
      <c r="C57" s="6"/>
      <c r="D57" s="7"/>
      <c r="E57" s="11"/>
      <c r="F57" s="6"/>
      <c r="G57" s="12"/>
      <c r="H57" s="13"/>
      <c r="I57" s="13"/>
      <c r="J57" s="13"/>
    </row>
    <row r="58" spans="1:10" ht="24.6" x14ac:dyDescent="0.4">
      <c r="A58" s="10"/>
      <c r="B58" s="6"/>
      <c r="C58" s="6"/>
      <c r="D58" s="7"/>
      <c r="E58" s="11"/>
      <c r="F58" s="6"/>
      <c r="G58" s="12"/>
      <c r="H58" s="13"/>
      <c r="I58" s="13"/>
      <c r="J58" s="13"/>
    </row>
    <row r="59" spans="1:10" ht="24.6" x14ac:dyDescent="0.4">
      <c r="A59" s="10"/>
      <c r="B59" s="6"/>
      <c r="C59" s="6"/>
      <c r="D59" s="7"/>
      <c r="E59" s="11"/>
      <c r="F59" s="6"/>
      <c r="G59" s="12"/>
      <c r="H59" s="13"/>
      <c r="I59" s="13"/>
      <c r="J59" s="13"/>
    </row>
    <row r="60" spans="1:10" ht="24.6" x14ac:dyDescent="0.4">
      <c r="A60" s="10"/>
      <c r="B60" s="6"/>
      <c r="C60" s="6"/>
      <c r="D60" s="7"/>
      <c r="E60" s="11"/>
      <c r="F60" s="6"/>
      <c r="G60" s="12"/>
      <c r="H60" s="13"/>
      <c r="I60" s="13"/>
      <c r="J60" s="13"/>
    </row>
    <row r="61" spans="1:10" ht="24.6" x14ac:dyDescent="0.4">
      <c r="A61" s="10"/>
      <c r="B61" s="6"/>
      <c r="C61" s="6"/>
      <c r="D61" s="7"/>
      <c r="E61" s="11"/>
      <c r="F61" s="6"/>
      <c r="G61" s="12"/>
      <c r="H61" s="13"/>
      <c r="I61" s="13"/>
      <c r="J61" s="13"/>
    </row>
    <row r="62" spans="1:10" ht="24.6" x14ac:dyDescent="0.4">
      <c r="A62" s="10"/>
      <c r="B62" s="6"/>
      <c r="C62" s="6"/>
      <c r="D62" s="7"/>
      <c r="E62" s="11"/>
      <c r="F62" s="6"/>
      <c r="G62" s="12"/>
      <c r="H62" s="13"/>
      <c r="I62" s="13"/>
      <c r="J62" s="13"/>
    </row>
    <row r="63" spans="1:10" ht="24.6" x14ac:dyDescent="0.4">
      <c r="A63" s="10"/>
      <c r="B63" s="6"/>
      <c r="C63" s="6"/>
      <c r="D63" s="7"/>
      <c r="E63" s="11"/>
      <c r="F63" s="6"/>
      <c r="G63" s="12"/>
      <c r="H63" s="13"/>
      <c r="I63" s="13"/>
      <c r="J63" s="13"/>
    </row>
    <row r="64" spans="1:10" ht="24.6" x14ac:dyDescent="0.4">
      <c r="A64" s="10"/>
      <c r="B64" s="6"/>
      <c r="C64" s="6"/>
      <c r="D64" s="7"/>
      <c r="E64" s="11"/>
      <c r="F64" s="6"/>
      <c r="G64" s="12"/>
      <c r="H64" s="13"/>
      <c r="I64" s="13"/>
      <c r="J64" s="13"/>
    </row>
    <row r="65" spans="1:10" ht="24.6" x14ac:dyDescent="0.4">
      <c r="A65" s="10"/>
      <c r="B65" s="6"/>
      <c r="C65" s="6"/>
      <c r="D65" s="7"/>
      <c r="E65" s="11"/>
      <c r="F65" s="6"/>
      <c r="G65" s="12"/>
      <c r="H65" s="13"/>
      <c r="I65" s="13"/>
      <c r="J65" s="13"/>
    </row>
    <row r="66" spans="1:10" ht="24.6" x14ac:dyDescent="0.4">
      <c r="A66" s="10"/>
      <c r="B66" s="6"/>
      <c r="C66" s="6"/>
      <c r="D66" s="7"/>
      <c r="E66" s="11"/>
      <c r="F66" s="6"/>
      <c r="G66" s="12"/>
      <c r="H66" s="13"/>
      <c r="I66" s="13"/>
      <c r="J66" s="13"/>
    </row>
    <row r="67" spans="1:10" ht="24.6" x14ac:dyDescent="0.4">
      <c r="A67" s="10"/>
      <c r="B67" s="6"/>
      <c r="C67" s="6"/>
      <c r="D67" s="7"/>
      <c r="E67" s="11"/>
      <c r="F67" s="6"/>
      <c r="G67" s="12"/>
      <c r="H67" s="13"/>
      <c r="I67" s="13"/>
      <c r="J67" s="13"/>
    </row>
    <row r="68" spans="1:10" ht="24.6" x14ac:dyDescent="0.4">
      <c r="A68" s="10"/>
      <c r="B68" s="6"/>
      <c r="C68" s="6"/>
      <c r="D68" s="7"/>
      <c r="E68" s="11"/>
      <c r="F68" s="6"/>
      <c r="G68" s="12"/>
      <c r="H68" s="13"/>
      <c r="I68" s="13"/>
      <c r="J68" s="13"/>
    </row>
    <row r="69" spans="1:10" ht="24.6" x14ac:dyDescent="0.4">
      <c r="A69" s="10"/>
      <c r="B69" s="6"/>
      <c r="C69" s="6"/>
      <c r="D69" s="7"/>
      <c r="E69" s="11"/>
      <c r="F69" s="6"/>
      <c r="G69" s="12"/>
      <c r="H69" s="13"/>
      <c r="I69" s="13"/>
      <c r="J69" s="13"/>
    </row>
    <row r="70" spans="1:10" ht="24.6" x14ac:dyDescent="0.4">
      <c r="A70" s="10"/>
      <c r="B70" s="6"/>
      <c r="C70" s="6"/>
      <c r="D70" s="7"/>
      <c r="E70" s="11"/>
      <c r="F70" s="6"/>
      <c r="G70" s="12"/>
      <c r="H70" s="13"/>
      <c r="I70" s="13"/>
      <c r="J70" s="13"/>
    </row>
    <row r="71" spans="1:10" ht="24.6" x14ac:dyDescent="0.4">
      <c r="A71" s="10"/>
      <c r="B71" s="6"/>
      <c r="C71" s="6"/>
      <c r="D71" s="7"/>
      <c r="E71" s="11"/>
      <c r="F71" s="6"/>
      <c r="G71" s="12"/>
      <c r="H71" s="13"/>
      <c r="I71" s="13"/>
      <c r="J71" s="13"/>
    </row>
    <row r="72" spans="1:10" ht="24.6" x14ac:dyDescent="0.4">
      <c r="A72" s="10"/>
      <c r="B72" s="6"/>
      <c r="C72" s="6"/>
      <c r="D72" s="7"/>
      <c r="E72" s="11"/>
      <c r="F72" s="6"/>
      <c r="G72" s="12"/>
      <c r="H72" s="13"/>
      <c r="I72" s="13"/>
      <c r="J72" s="13"/>
    </row>
    <row r="73" spans="1:10" ht="24.6" x14ac:dyDescent="0.4">
      <c r="A73" s="10"/>
      <c r="B73" s="6"/>
      <c r="C73" s="6"/>
      <c r="D73" s="7"/>
      <c r="E73" s="11"/>
      <c r="F73" s="6"/>
      <c r="G73" s="12"/>
      <c r="H73" s="13"/>
      <c r="I73" s="13"/>
      <c r="J73" s="13"/>
    </row>
    <row r="74" spans="1:10" ht="24.6" x14ac:dyDescent="0.4">
      <c r="A74" s="10"/>
      <c r="B74" s="6"/>
      <c r="C74" s="6"/>
      <c r="D74" s="7"/>
      <c r="E74" s="11"/>
      <c r="F74" s="6"/>
      <c r="G74" s="12"/>
      <c r="H74" s="13"/>
      <c r="I74" s="13"/>
      <c r="J74" s="13"/>
    </row>
    <row r="75" spans="1:10" ht="24.6" x14ac:dyDescent="0.4">
      <c r="A75" s="10"/>
      <c r="B75" s="6"/>
      <c r="C75" s="6"/>
      <c r="D75" s="7"/>
      <c r="E75" s="11"/>
      <c r="F75" s="6"/>
      <c r="G75" s="12"/>
      <c r="H75" s="13"/>
      <c r="I75" s="13"/>
      <c r="J75" s="13"/>
    </row>
    <row r="76" spans="1:10" ht="24.6" x14ac:dyDescent="0.4">
      <c r="A76" s="10"/>
      <c r="B76" s="6"/>
      <c r="C76" s="6"/>
      <c r="D76" s="7"/>
      <c r="E76" s="11"/>
      <c r="F76" s="6"/>
      <c r="G76" s="12"/>
      <c r="H76" s="13"/>
      <c r="I76" s="13"/>
      <c r="J76" s="13"/>
    </row>
    <row r="77" spans="1:10" ht="24.6" x14ac:dyDescent="0.4">
      <c r="A77" s="10"/>
      <c r="B77" s="6"/>
      <c r="C77" s="6"/>
      <c r="D77" s="7"/>
      <c r="E77" s="11"/>
      <c r="F77" s="6"/>
      <c r="G77" s="12"/>
      <c r="H77" s="13"/>
      <c r="I77" s="13"/>
      <c r="J77" s="13"/>
    </row>
    <row r="78" spans="1:10" ht="24.6" x14ac:dyDescent="0.4">
      <c r="A78" s="10"/>
      <c r="B78" s="6"/>
      <c r="C78" s="6"/>
      <c r="D78" s="7"/>
      <c r="E78" s="11"/>
      <c r="F78" s="6"/>
      <c r="G78" s="12"/>
      <c r="H78" s="13"/>
      <c r="I78" s="13"/>
      <c r="J78" s="13"/>
    </row>
    <row r="79" spans="1:10" ht="24.6" x14ac:dyDescent="0.4">
      <c r="A79" s="10"/>
      <c r="B79" s="6"/>
      <c r="C79" s="6"/>
      <c r="D79" s="7"/>
      <c r="E79" s="11"/>
      <c r="F79" s="6"/>
      <c r="G79" s="12"/>
      <c r="H79" s="13"/>
      <c r="I79" s="13"/>
      <c r="J79" s="13"/>
    </row>
    <row r="80" spans="1:10" ht="24.6" x14ac:dyDescent="0.4">
      <c r="A80" s="10"/>
      <c r="B80" s="6"/>
      <c r="C80" s="6"/>
      <c r="D80" s="7"/>
      <c r="E80" s="11"/>
      <c r="F80" s="6"/>
      <c r="G80" s="12"/>
      <c r="H80" s="13"/>
      <c r="I80" s="13"/>
      <c r="J80" s="13"/>
    </row>
    <row r="81" spans="1:10" ht="24.6" x14ac:dyDescent="0.4">
      <c r="A81" s="10"/>
      <c r="B81" s="6"/>
      <c r="C81" s="6"/>
      <c r="D81" s="7"/>
      <c r="E81" s="11"/>
      <c r="F81" s="6"/>
      <c r="G81" s="12"/>
      <c r="H81" s="13"/>
      <c r="I81" s="13"/>
      <c r="J81" s="13"/>
    </row>
    <row r="82" spans="1:10" ht="24.6" x14ac:dyDescent="0.4">
      <c r="A82" s="10"/>
      <c r="B82" s="6"/>
      <c r="C82" s="6"/>
      <c r="D82" s="7"/>
      <c r="E82" s="11"/>
      <c r="F82" s="6"/>
      <c r="G82" s="12"/>
      <c r="H82" s="13"/>
      <c r="I82" s="13"/>
      <c r="J82" s="13"/>
    </row>
    <row r="83" spans="1:10" ht="24.6" x14ac:dyDescent="0.4">
      <c r="A83" s="10"/>
      <c r="B83" s="6"/>
      <c r="C83" s="6"/>
      <c r="D83" s="7"/>
      <c r="E83" s="11"/>
      <c r="F83" s="6"/>
      <c r="G83" s="12"/>
      <c r="H83" s="13"/>
      <c r="I83" s="13"/>
      <c r="J83" s="13"/>
    </row>
    <row r="84" spans="1:10" ht="24.6" x14ac:dyDescent="0.4">
      <c r="A84" s="10"/>
      <c r="B84" s="6"/>
      <c r="C84" s="6"/>
      <c r="D84" s="7"/>
      <c r="E84" s="11"/>
      <c r="F84" s="6"/>
      <c r="G84" s="12"/>
      <c r="H84" s="13"/>
      <c r="I84" s="13"/>
      <c r="J84" s="13"/>
    </row>
    <row r="85" spans="1:10" ht="24.6" x14ac:dyDescent="0.4">
      <c r="A85" s="10"/>
      <c r="B85" s="6"/>
      <c r="C85" s="6"/>
      <c r="D85" s="7"/>
      <c r="E85" s="11"/>
      <c r="F85" s="6"/>
      <c r="G85" s="12"/>
      <c r="H85" s="13"/>
      <c r="I85" s="13"/>
      <c r="J85" s="13"/>
    </row>
    <row r="86" spans="1:10" ht="24.6" x14ac:dyDescent="0.4">
      <c r="A86" s="10"/>
      <c r="B86" s="6"/>
      <c r="C86" s="14"/>
      <c r="D86" s="7"/>
      <c r="E86" s="11"/>
      <c r="F86" s="6"/>
      <c r="G86" s="12"/>
      <c r="H86" s="13"/>
      <c r="I86" s="13"/>
      <c r="J86" s="13"/>
    </row>
    <row r="87" spans="1:10" ht="24.6" x14ac:dyDescent="0.4">
      <c r="A87" s="10"/>
      <c r="B87" s="6"/>
      <c r="C87" s="6"/>
      <c r="D87" s="7"/>
      <c r="E87" s="11"/>
      <c r="F87" s="6"/>
      <c r="G87" s="12"/>
      <c r="H87" s="13"/>
      <c r="I87" s="13"/>
      <c r="J87" s="13"/>
    </row>
    <row r="88" spans="1:10" ht="24.6" x14ac:dyDescent="0.4">
      <c r="A88" s="10"/>
      <c r="B88" s="6"/>
      <c r="C88" s="6"/>
      <c r="D88" s="7"/>
      <c r="E88" s="11"/>
      <c r="F88" s="6"/>
      <c r="G88" s="12"/>
      <c r="H88" s="13"/>
      <c r="I88" s="13"/>
      <c r="J88" s="13"/>
    </row>
    <row r="89" spans="1:10" ht="24.6" x14ac:dyDescent="0.4">
      <c r="A89" s="10"/>
      <c r="B89" s="6"/>
      <c r="C89" s="6"/>
      <c r="D89" s="7"/>
      <c r="E89" s="11"/>
      <c r="F89" s="6"/>
      <c r="G89" s="12"/>
      <c r="H89" s="13"/>
      <c r="I89" s="13"/>
      <c r="J89" s="13"/>
    </row>
    <row r="90" spans="1:10" ht="24.6" x14ac:dyDescent="0.4">
      <c r="A90" s="10"/>
      <c r="B90" s="6"/>
      <c r="C90" s="6"/>
      <c r="D90" s="7"/>
      <c r="E90" s="11"/>
      <c r="F90" s="6"/>
      <c r="G90" s="12"/>
      <c r="H90" s="13"/>
      <c r="I90" s="13"/>
      <c r="J90" s="13"/>
    </row>
    <row r="91" spans="1:10" ht="24.6" x14ac:dyDescent="0.4">
      <c r="A91" s="10"/>
      <c r="B91" s="6"/>
      <c r="C91" s="6"/>
      <c r="D91" s="7"/>
      <c r="E91" s="11"/>
      <c r="F91" s="6"/>
      <c r="G91" s="12"/>
      <c r="H91" s="13"/>
      <c r="I91" s="13"/>
      <c r="J91" s="13"/>
    </row>
    <row r="92" spans="1:10" ht="24.6" x14ac:dyDescent="0.4">
      <c r="A92" s="10"/>
      <c r="B92" s="6"/>
      <c r="C92" s="6"/>
      <c r="D92" s="7"/>
      <c r="E92" s="11"/>
      <c r="F92" s="6"/>
      <c r="G92" s="12"/>
      <c r="H92" s="13"/>
      <c r="I92" s="13"/>
      <c r="J92" s="13"/>
    </row>
    <row r="93" spans="1:10" ht="24.6" x14ac:dyDescent="0.4">
      <c r="A93" s="10"/>
      <c r="B93" s="6"/>
      <c r="C93" s="6"/>
      <c r="D93" s="7"/>
      <c r="E93" s="11"/>
      <c r="F93" s="6"/>
      <c r="G93" s="12"/>
      <c r="H93" s="13"/>
      <c r="I93" s="13"/>
      <c r="J93" s="13"/>
    </row>
    <row r="94" spans="1:10" ht="24.6" x14ac:dyDescent="0.4">
      <c r="A94" s="10"/>
      <c r="B94" s="6"/>
      <c r="C94" s="6"/>
      <c r="D94" s="7"/>
      <c r="E94" s="11"/>
      <c r="F94" s="6"/>
      <c r="G94" s="12"/>
      <c r="H94" s="13"/>
      <c r="I94" s="13"/>
      <c r="J94" s="13"/>
    </row>
    <row r="95" spans="1:10" ht="24.6" x14ac:dyDescent="0.4">
      <c r="A95" s="10"/>
      <c r="B95" s="6"/>
      <c r="C95" s="6"/>
      <c r="D95" s="7"/>
      <c r="E95" s="11"/>
      <c r="F95" s="6"/>
      <c r="G95" s="12"/>
      <c r="H95" s="13"/>
      <c r="I95" s="13"/>
      <c r="J95" s="13"/>
    </row>
    <row r="96" spans="1:10" ht="24.6" x14ac:dyDescent="0.4">
      <c r="A96" s="10"/>
      <c r="B96" s="6"/>
      <c r="C96" s="6"/>
      <c r="D96" s="7"/>
      <c r="E96" s="11"/>
      <c r="F96" s="6"/>
      <c r="G96" s="12"/>
      <c r="H96" s="13"/>
      <c r="I96" s="13"/>
      <c r="J96" s="13"/>
    </row>
    <row r="97" spans="1:10" ht="24.6" x14ac:dyDescent="0.4">
      <c r="A97" s="10"/>
      <c r="B97" s="6"/>
      <c r="C97" s="6"/>
      <c r="D97" s="7"/>
      <c r="E97" s="11"/>
      <c r="F97" s="6"/>
      <c r="G97" s="12"/>
      <c r="H97" s="13"/>
      <c r="I97" s="13"/>
      <c r="J97" s="13"/>
    </row>
    <row r="98" spans="1:10" ht="24.6" x14ac:dyDescent="0.4">
      <c r="A98" s="10"/>
      <c r="B98" s="6"/>
      <c r="C98" s="6"/>
      <c r="D98" s="7"/>
      <c r="E98" s="11"/>
      <c r="F98" s="6"/>
      <c r="G98" s="12"/>
      <c r="H98" s="13"/>
      <c r="I98" s="13"/>
      <c r="J98" s="13"/>
    </row>
    <row r="99" spans="1:10" ht="24.6" x14ac:dyDescent="0.4">
      <c r="A99" s="10"/>
      <c r="B99" s="6"/>
      <c r="C99" s="6"/>
      <c r="D99" s="7"/>
      <c r="E99" s="11"/>
      <c r="F99" s="6"/>
      <c r="G99" s="12"/>
      <c r="H99" s="13"/>
      <c r="I99" s="13"/>
      <c r="J99" s="13"/>
    </row>
    <row r="100" spans="1:10" x14ac:dyDescent="0.25"/>
  </sheetData>
  <autoFilter ref="A1:J4" xr:uid="{ADCD79ED-890A-413A-B3C3-74A8E5D1528F}"/>
  <sortState xmlns:xlrd2="http://schemas.microsoft.com/office/spreadsheetml/2017/richdata2" ref="A2:J99">
    <sortCondition descending="1" ref="F1:F99"/>
  </sortState>
  <phoneticPr fontId="1" type="noConversion"/>
  <conditionalFormatting sqref="G2:G99">
    <cfRule type="cellIs" dxfId="5" priority="3" operator="equal">
      <formula>"C"</formula>
    </cfRule>
    <cfRule type="cellIs" dxfId="4" priority="4" operator="equal">
      <formula>"B"</formula>
    </cfRule>
    <cfRule type="cellIs" dxfId="3" priority="5" operator="equal">
      <formula>"A"</formula>
    </cfRule>
    <cfRule type="cellIs" dxfId="2" priority="6" operator="equal">
      <formula>"S"</formula>
    </cfRule>
  </conditionalFormatting>
  <conditionalFormatting sqref="I2:I99">
    <cfRule type="notContainsBlanks" dxfId="1" priority="1">
      <formula>LEN(TRIM(I2))&gt;0</formula>
    </cfRule>
  </conditionalFormatting>
  <conditionalFormatting sqref="J2:J99">
    <cfRule type="containsText" dxfId="0" priority="2" operator="containsText" text="生日快乐">
      <formula>NOT(ISERROR(SEARCH("生日快乐",J2)))</formula>
    </cfRule>
  </conditionalFormatting>
  <dataValidations count="2">
    <dataValidation type="decimal" allowBlank="1" showInputMessage="1" showErrorMessage="1" sqref="F2:F99" xr:uid="{8F3C6B1F-7633-4AFD-BCB3-31539685CB09}">
      <formula1>6</formula1>
      <formula2>10</formula2>
    </dataValidation>
    <dataValidation type="list" allowBlank="1" showInputMessage="1" showErrorMessage="1" sqref="G2:G99" xr:uid="{6DF93AAA-80C3-4194-ACEA-023FEEE4D358}">
      <formula1>"S,A,B,C"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12CC-5374-4654-ACCE-35BF3B597870}">
  <dimension ref="A1:C4"/>
  <sheetViews>
    <sheetView zoomScale="160" zoomScaleNormal="160" workbookViewId="0">
      <selection activeCell="C6" sqref="C6"/>
    </sheetView>
  </sheetViews>
  <sheetFormatPr defaultRowHeight="13.8" x14ac:dyDescent="0.25"/>
  <cols>
    <col min="1" max="1" width="6.88671875" bestFit="1" customWidth="1"/>
    <col min="2" max="2" width="7.33203125" bestFit="1" customWidth="1"/>
    <col min="3" max="3" width="68.44140625" customWidth="1"/>
  </cols>
  <sheetData>
    <row r="1" spans="1:3" ht="17.399999999999999" x14ac:dyDescent="0.25">
      <c r="A1" s="3" t="s">
        <v>2</v>
      </c>
      <c r="B1" s="3" t="s">
        <v>4</v>
      </c>
      <c r="C1" s="3" t="s">
        <v>5</v>
      </c>
    </row>
    <row r="2" spans="1:3" ht="17.399999999999999" x14ac:dyDescent="0.25">
      <c r="A2" s="5">
        <v>1</v>
      </c>
      <c r="B2" s="1" t="s">
        <v>7</v>
      </c>
      <c r="C2" s="2" t="s">
        <v>10</v>
      </c>
    </row>
    <row r="3" spans="1:3" ht="17.399999999999999" x14ac:dyDescent="0.25">
      <c r="A3" s="5">
        <v>2</v>
      </c>
      <c r="B3" s="1" t="s">
        <v>6</v>
      </c>
      <c r="C3" s="2" t="s">
        <v>9</v>
      </c>
    </row>
    <row r="4" spans="1:3" ht="34.799999999999997" x14ac:dyDescent="0.25">
      <c r="A4" s="5">
        <v>3</v>
      </c>
      <c r="B4" s="1" t="s">
        <v>8</v>
      </c>
      <c r="C4" s="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电影</vt:lpstr>
      <vt:lpstr>电视剧</vt:lpstr>
      <vt:lpstr>网剧专项</vt:lpstr>
      <vt:lpstr>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陈涛</dc:creator>
  <cp:lastModifiedBy>涛 陈</cp:lastModifiedBy>
  <dcterms:created xsi:type="dcterms:W3CDTF">2015-06-05T18:19:34Z</dcterms:created>
  <dcterms:modified xsi:type="dcterms:W3CDTF">2026-03-03T10:36:02Z</dcterms:modified>
</cp:coreProperties>
</file>